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ário\GIT\rotina-dieta\"/>
    </mc:Choice>
  </mc:AlternateContent>
  <xr:revisionPtr revIDLastSave="0" documentId="13_ncr:1_{8850E110-39D4-4C47-9F24-2CD30C8F0E0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alculadora" sheetId="1" r:id="rId1"/>
    <sheet name="Referências" sheetId="2" r:id="rId2"/>
    <sheet name="Dieta" sheetId="3" r:id="rId3"/>
    <sheet name="Rotina" sheetId="4" r:id="rId4"/>
  </sheets>
  <calcPr calcId="191029"/>
</workbook>
</file>

<file path=xl/calcChain.xml><?xml version="1.0" encoding="utf-8"?>
<calcChain xmlns="http://schemas.openxmlformats.org/spreadsheetml/2006/main">
  <c r="B21" i="1" l="1"/>
  <c r="B20" i="1"/>
  <c r="B17" i="1"/>
  <c r="B16" i="1"/>
  <c r="B18" i="1" l="1"/>
  <c r="B19" i="1" s="1"/>
  <c r="B22" i="1" s="1"/>
  <c r="B23" i="1" s="1"/>
</calcChain>
</file>

<file path=xl/sharedStrings.xml><?xml version="1.0" encoding="utf-8"?>
<sst xmlns="http://schemas.openxmlformats.org/spreadsheetml/2006/main" count="329" uniqueCount="185">
  <si>
    <t>Calculadora de Calorias e Macros para Ganho de Massa</t>
  </si>
  <si>
    <t>Preencha apenas as células amarelas. Os resultados são calculados automaticamente.</t>
  </si>
  <si>
    <t>SEUS DADOS</t>
  </si>
  <si>
    <t>VALOR</t>
  </si>
  <si>
    <t>Sexo</t>
  </si>
  <si>
    <t>Masculino</t>
  </si>
  <si>
    <t>Idade (anos)</t>
  </si>
  <si>
    <t>Peso (kg)</t>
  </si>
  <si>
    <t>Altura (cm)</t>
  </si>
  <si>
    <t>Nível de atividade</t>
  </si>
  <si>
    <t>Moderado (3–5x/semana)</t>
  </si>
  <si>
    <t>Superávit desejado (kcal)</t>
  </si>
  <si>
    <t>Proteína (g/kg)</t>
  </si>
  <si>
    <t>Gordura (g/kg)</t>
  </si>
  <si>
    <t>RESULTADOS</t>
  </si>
  <si>
    <t>UNIDADE</t>
  </si>
  <si>
    <t>O QUE SIGNIFICA</t>
  </si>
  <si>
    <t>Taxa Metabólica Basal (TMB)</t>
  </si>
  <si>
    <t>kcal/dia</t>
  </si>
  <si>
    <t>Energia que seu corpo gasta em repouso.</t>
  </si>
  <si>
    <t>Fator de atividade</t>
  </si>
  <si>
    <t>x</t>
  </si>
  <si>
    <t>Multiplicador baseado no seu nível de atividade.</t>
  </si>
  <si>
    <t>Gasto Energético Total (GET/TDEE)</t>
  </si>
  <si>
    <t>Estimativa do gasto diário para manter o peso.</t>
  </si>
  <si>
    <t>Meta calórica para ganho de massa</t>
  </si>
  <si>
    <t>GET + superávit escolhido.</t>
  </si>
  <si>
    <t>Proteína</t>
  </si>
  <si>
    <t>g/dia</t>
  </si>
  <si>
    <t>Peso × meta de proteína em g/kg.</t>
  </si>
  <si>
    <t>Gordura</t>
  </si>
  <si>
    <t>Peso × meta de gordura em g/kg.</t>
  </si>
  <si>
    <t>Carboidratos</t>
  </si>
  <si>
    <t>Calorias restantes convertidas em carboidratos.</t>
  </si>
  <si>
    <t>Total calculado de calorias</t>
  </si>
  <si>
    <t>Conferência: proteína + gordura + carboidratos.</t>
  </si>
  <si>
    <t>Como a planilha calcula</t>
  </si>
  <si>
    <t>TMB: fórmula de Mifflin–St Jeor.
GET/TDEE: TMB × fator de atividade.
Meta calórica: GET + superávit.
Macros: proteína e gordura são definidas por g/kg; carboidratos completam as calorias restantes.</t>
  </si>
  <si>
    <t>Observação: estes valores são estimativas para planejamento. A evolução do peso, desempenho e composição corporal deve ser usada para ajustar as calorias ao longo das semanas.</t>
  </si>
  <si>
    <t>Fator</t>
  </si>
  <si>
    <t>Referência</t>
  </si>
  <si>
    <t>Faixa sugerida</t>
  </si>
  <si>
    <t>Sedentário</t>
  </si>
  <si>
    <t>1,6–2,2 g/kg/dia</t>
  </si>
  <si>
    <t>Leve (1–3x/semana)</t>
  </si>
  <si>
    <t>Gorduras</t>
  </si>
  <si>
    <t>0,7–1,0 g/kg/dia</t>
  </si>
  <si>
    <t>Superávit inicial</t>
  </si>
  <si>
    <t>+200 a +300 kcal/dia</t>
  </si>
  <si>
    <t>Intenso (6–7x/semana)</t>
  </si>
  <si>
    <t>Muito intenso / trabalho físico</t>
  </si>
  <si>
    <t>Refeição</t>
  </si>
  <si>
    <t>Alimentos</t>
  </si>
  <si>
    <t>Quantidade aproximada</t>
  </si>
  <si>
    <t>1. Café da manhã</t>
  </si>
  <si>
    <t>Pão</t>
  </si>
  <si>
    <t>2 fatias</t>
  </si>
  <si>
    <t>Muçarela</t>
  </si>
  <si>
    <t>30 g</t>
  </si>
  <si>
    <t>Leite</t>
  </si>
  <si>
    <t>250 ml</t>
  </si>
  <si>
    <t>Aveia</t>
  </si>
  <si>
    <t>40 g</t>
  </si>
  <si>
    <t>Banana</t>
  </si>
  <si>
    <t>1 média</t>
  </si>
  <si>
    <t>2. Lanche da manhã</t>
  </si>
  <si>
    <t>Whey</t>
  </si>
  <si>
    <t>Mamão</t>
  </si>
  <si>
    <t>~200 g</t>
  </si>
  <si>
    <t>3. Almoço</t>
  </si>
  <si>
    <t>Arroz cozido</t>
  </si>
  <si>
    <t>250 g</t>
  </si>
  <si>
    <t>Feijão cozido</t>
  </si>
  <si>
    <t>150 g</t>
  </si>
  <si>
    <t>Frango</t>
  </si>
  <si>
    <t>~80 g</t>
  </si>
  <si>
    <t>Brócolis + couve-flor + alface</t>
  </si>
  <si>
    <t>à vontade / ~200 g</t>
  </si>
  <si>
    <t>Abacate</t>
  </si>
  <si>
    <t>4. Lanche / pré-treino</t>
  </si>
  <si>
    <t>Muçarela ou queijo prato</t>
  </si>
  <si>
    <t>Uva</t>
  </si>
  <si>
    <t>~100 g</t>
  </si>
  <si>
    <t>5. Jantar / pós-treino</t>
  </si>
  <si>
    <t>200 g</t>
  </si>
  <si>
    <t>Feijão</t>
  </si>
  <si>
    <t>100 g</t>
  </si>
  <si>
    <t>Carne bovina magra</t>
  </si>
  <si>
    <t>Batata cozida/assada</t>
  </si>
  <si>
    <t>Brócolis/couve-flor/alface</t>
  </si>
  <si>
    <t>6. Ceia</t>
  </si>
  <si>
    <t>Manga</t>
  </si>
  <si>
    <t>~150 g</t>
  </si>
  <si>
    <t>Dia</t>
  </si>
  <si>
    <t>Segunda</t>
  </si>
  <si>
    <t>Terça</t>
  </si>
  <si>
    <t>Quarta</t>
  </si>
  <si>
    <t>Sábado</t>
  </si>
  <si>
    <t>Domingo</t>
  </si>
  <si>
    <t>Horário</t>
  </si>
  <si>
    <t>Comida simples</t>
  </si>
  <si>
    <t>7h–8h</t>
  </si>
  <si>
    <t>Café</t>
  </si>
  <si>
    <t>Pão + queijo + leite + aveia + banana</t>
  </si>
  <si>
    <t>10h–11h</t>
  </si>
  <si>
    <t>Lanche</t>
  </si>
  <si>
    <t>Whey + mamão</t>
  </si>
  <si>
    <t>12h–13h</t>
  </si>
  <si>
    <t>Almoço</t>
  </si>
  <si>
    <t>Arroz + feijão + frango/carne + legumes/salada</t>
  </si>
  <si>
    <t>17h30–18h</t>
  </si>
  <si>
    <t>Pré-Kung Fu</t>
  </si>
  <si>
    <t>Pão + queijo + banana + uva</t>
  </si>
  <si>
    <t>19h30–21h</t>
  </si>
  <si>
    <t>🥋 Kung Fu</t>
  </si>
  <si>
    <t>—</t>
  </si>
  <si>
    <t>21h30</t>
  </si>
  <si>
    <t>Jantar / pós</t>
  </si>
  <si>
    <t>Arroz + feijão + frango/carne + legumes</t>
  </si>
  <si>
    <t>10h30–11h</t>
  </si>
  <si>
    <t>Pré-academia</t>
  </si>
  <si>
    <t>Banana ou pão + queijo</t>
  </si>
  <si>
    <t>🏋️ Academia</t>
  </si>
  <si>
    <t>13h15</t>
  </si>
  <si>
    <t>Almoço / pós</t>
  </si>
  <si>
    <t>16h30–17h</t>
  </si>
  <si>
    <t>Pré-Samba</t>
  </si>
  <si>
    <t>Pão + queijo + banana ou uva</t>
  </si>
  <si>
    <t>18h–20h</t>
  </si>
  <si>
    <t>🕺 Samba Rock</t>
  </si>
  <si>
    <t>20h30</t>
  </si>
  <si>
    <t>Arroz + feijão + frango/carne + batata + legumes</t>
  </si>
  <si>
    <t>Quinta — presencial</t>
  </si>
  <si>
    <t>Pão + queijo + leite + aveia + fruta</t>
  </si>
  <si>
    <t>Whey + fruta</t>
  </si>
  <si>
    <t>Marmita</t>
  </si>
  <si>
    <t>Arroz + feijão + frango + brócolis/couve-flor</t>
  </si>
  <si>
    <t>16h–17h</t>
  </si>
  <si>
    <t>Whey + banana/mamão</t>
  </si>
  <si>
    <t>19h–19h30</t>
  </si>
  <si>
    <t>Pão + queijo + banana</t>
  </si>
  <si>
    <t>21h</t>
  </si>
  <si>
    <t>22h15–22h30</t>
  </si>
  <si>
    <t>Sexta — presencial</t>
  </si>
  <si>
    <t>15h30–16h</t>
  </si>
  <si>
    <t>7h</t>
  </si>
  <si>
    <t>Banana + 1–2 fatias de pão</t>
  </si>
  <si>
    <t>8h</t>
  </si>
  <si>
    <t>9h30</t>
  </si>
  <si>
    <t>Café / pós</t>
  </si>
  <si>
    <t>Pão + queijo + leite + aveia + fruta + whey</t>
  </si>
  <si>
    <t>12h30–13h30</t>
  </si>
  <si>
    <t>Arroz + feijão + carne/frango + legumes</t>
  </si>
  <si>
    <t>Fruta + pão/queijo ou whey</t>
  </si>
  <si>
    <t>20h</t>
  </si>
  <si>
    <t>Jantar</t>
  </si>
  <si>
    <t>Arroz/batata + frango/carne + legumes</t>
  </si>
  <si>
    <t>Pão + queijo + leite + aveia + banana/mamão</t>
  </si>
  <si>
    <t>10h</t>
  </si>
  <si>
    <t>Banana, uva ou pão</t>
  </si>
  <si>
    <t>11h</t>
  </si>
  <si>
    <t>12h30</t>
  </si>
  <si>
    <t>Arroz + feijão + carne/frango + batata + legumes</t>
  </si>
  <si>
    <t>em casa</t>
  </si>
  <si>
    <t>presencial</t>
  </si>
  <si>
    <t>rotina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</si>
  <si>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</si>
  <si>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</si>
  <si>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</si>
  <si>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</si>
  <si>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</si>
  <si>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</si>
  <si>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</si>
  <si>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Francês</t>
  </si>
  <si>
    <t>Academia</t>
  </si>
  <si>
    <t>Kung Fu</t>
  </si>
  <si>
    <t>Ciência de Dados</t>
  </si>
  <si>
    <t>Leão e Dragão</t>
  </si>
  <si>
    <t>Inglês</t>
  </si>
  <si>
    <t>Trabalho</t>
  </si>
  <si>
    <t>Cavaquinho</t>
  </si>
  <si>
    <t>Terapia</t>
  </si>
  <si>
    <t>Macumba</t>
  </si>
  <si>
    <t>Livro</t>
  </si>
  <si>
    <t>quinta-feita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</si>
</sst>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:mm;@"/>
  </numFmts>
  <fonts count="11" x14ac:knownFonts="1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244062"/>
      <name val="Carlito"/>
    </font>
    <font>
      <b/>
      <sz val="11"/>
      <name val="Carlito"/>
    </font>
    <font>
      <b/>
      <sz val="11"/>
      <color rgb="FF274E13"/>
      <name val="Carlito"/>
    </font>
    <font>
      <i/>
      <sz val="11"/>
      <color rgb="FF843C0C"/>
      <name val="Carlito"/>
    </font>
    <font>
      <b/>
      <sz val="11"/>
      <name val="Carlito"/>
      <family val="2"/>
    </font>
    <font>
      <sz val="11"/>
      <name val="Carlito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F7F7F7"/>
      </patternFill>
    </fill>
    <fill>
      <patternFill patternType="solid">
        <fgColor rgb="FFFCE4D6"/>
      </patternFill>
    </fill>
    <fill>
      <patternFill patternType="solid">
        <fgColor rgb="FFC6E0B4"/>
      </patternFill>
    </fill>
  </fills>
  <borders count="23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5" fillId="5" borderId="0" xfId="0" applyFont="1" applyFill="1" applyAlignment="1">
      <alignment wrapText="1"/>
    </xf>
    <xf numFmtId="0" fontId="0" fillId="0" borderId="5" xfId="0" applyBorder="1" applyAlignment="1">
      <alignment wrapText="1"/>
    </xf>
    <xf numFmtId="164" fontId="5" fillId="5" borderId="0" xfId="0" applyNumberFormat="1" applyFont="1" applyFill="1" applyAlignment="1">
      <alignment wrapText="1"/>
    </xf>
    <xf numFmtId="1" fontId="5" fillId="5" borderId="0" xfId="0" applyNumberFormat="1" applyFont="1" applyFill="1" applyAlignment="1">
      <alignment wrapText="1"/>
    </xf>
    <xf numFmtId="0" fontId="2" fillId="6" borderId="4" xfId="0" applyFont="1" applyFill="1" applyBorder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164" fontId="5" fillId="7" borderId="0" xfId="0" applyNumberFormat="1" applyFont="1" applyFill="1" applyAlignment="1">
      <alignment wrapText="1"/>
    </xf>
    <xf numFmtId="0" fontId="0" fillId="0" borderId="6" xfId="0" applyBorder="1" applyAlignment="1">
      <alignment wrapText="1"/>
    </xf>
    <xf numFmtId="164" fontId="5" fillId="7" borderId="7" xfId="0" applyNumberFormat="1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64" fontId="5" fillId="11" borderId="0" xfId="0" applyNumberFormat="1" applyFont="1" applyFill="1" applyAlignment="1">
      <alignment wrapText="1"/>
    </xf>
    <xf numFmtId="0" fontId="5" fillId="11" borderId="4" xfId="0" applyFont="1" applyFill="1" applyBorder="1" applyAlignment="1">
      <alignment wrapText="1"/>
    </xf>
    <xf numFmtId="0" fontId="5" fillId="11" borderId="0" xfId="0" applyFont="1" applyFill="1" applyAlignment="1">
      <alignment wrapText="1"/>
    </xf>
    <xf numFmtId="0" fontId="5" fillId="11" borderId="5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0" fontId="6" fillId="8" borderId="0" xfId="0" applyFont="1" applyFill="1" applyAlignment="1">
      <alignment horizontal="center" wrapText="1"/>
    </xf>
    <xf numFmtId="0" fontId="0" fillId="9" borderId="0" xfId="0" applyFill="1" applyAlignment="1">
      <alignment vertical="top" wrapText="1"/>
    </xf>
    <xf numFmtId="0" fontId="7" fillId="10" borderId="0" xfId="0" applyFont="1" applyFill="1" applyAlignment="1">
      <alignment wrapText="1"/>
    </xf>
    <xf numFmtId="0" fontId="8" fillId="0" borderId="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65" fontId="10" fillId="0" borderId="2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5" fontId="10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5" fontId="10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5" fontId="10" fillId="0" borderId="22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activeCell="C10" sqref="C10"/>
    </sheetView>
  </sheetViews>
  <sheetFormatPr defaultRowHeight="14.4" x14ac:dyDescent="0.3"/>
  <cols>
    <col min="1" max="1" width="31" customWidth="1"/>
    <col min="2" max="2" width="20" customWidth="1"/>
    <col min="3" max="3" width="14" customWidth="1"/>
    <col min="4" max="4" width="42" customWidth="1"/>
  </cols>
  <sheetData>
    <row r="1" spans="1:4" ht="24" customHeight="1" x14ac:dyDescent="0.3">
      <c r="A1" s="49" t="s">
        <v>0</v>
      </c>
      <c r="B1" s="49"/>
      <c r="C1" s="49"/>
      <c r="D1" s="49"/>
    </row>
    <row r="2" spans="1:4" x14ac:dyDescent="0.3">
      <c r="A2" s="2"/>
      <c r="B2" s="2"/>
      <c r="C2" s="2"/>
      <c r="D2" s="2"/>
    </row>
    <row r="3" spans="1:4" x14ac:dyDescent="0.3">
      <c r="A3" s="50" t="s">
        <v>1</v>
      </c>
      <c r="B3" s="50"/>
      <c r="C3" s="50"/>
      <c r="D3" s="50"/>
    </row>
    <row r="4" spans="1:4" x14ac:dyDescent="0.3">
      <c r="A4" s="2"/>
      <c r="B4" s="2"/>
      <c r="C4" s="2"/>
      <c r="D4" s="2"/>
    </row>
    <row r="5" spans="1:4" x14ac:dyDescent="0.3">
      <c r="A5" s="3" t="s">
        <v>2</v>
      </c>
      <c r="B5" s="4" t="s">
        <v>3</v>
      </c>
      <c r="C5" s="5"/>
      <c r="D5" s="6"/>
    </row>
    <row r="6" spans="1:4" x14ac:dyDescent="0.3">
      <c r="A6" s="7" t="s">
        <v>4</v>
      </c>
      <c r="B6" s="8" t="s">
        <v>5</v>
      </c>
      <c r="C6" s="2"/>
      <c r="D6" s="9"/>
    </row>
    <row r="7" spans="1:4" x14ac:dyDescent="0.3">
      <c r="A7" s="7" t="s">
        <v>6</v>
      </c>
      <c r="B7" s="10">
        <v>25</v>
      </c>
      <c r="C7" s="2"/>
      <c r="D7" s="9"/>
    </row>
    <row r="8" spans="1:4" x14ac:dyDescent="0.3">
      <c r="A8" s="7" t="s">
        <v>7</v>
      </c>
      <c r="B8" s="10">
        <v>83</v>
      </c>
      <c r="C8" s="2"/>
      <c r="D8" s="9"/>
    </row>
    <row r="9" spans="1:4" x14ac:dyDescent="0.3">
      <c r="A9" s="7" t="s">
        <v>8</v>
      </c>
      <c r="B9" s="10">
        <v>178</v>
      </c>
      <c r="C9" s="2"/>
      <c r="D9" s="9"/>
    </row>
    <row r="10" spans="1:4" ht="28.8" x14ac:dyDescent="0.3">
      <c r="A10" s="7" t="s">
        <v>9</v>
      </c>
      <c r="B10" s="10" t="s">
        <v>49</v>
      </c>
      <c r="C10" s="2"/>
      <c r="D10" s="9"/>
    </row>
    <row r="11" spans="1:4" x14ac:dyDescent="0.3">
      <c r="A11" s="7" t="s">
        <v>11</v>
      </c>
      <c r="B11" s="11">
        <v>350</v>
      </c>
      <c r="C11" s="2"/>
      <c r="D11" s="9"/>
    </row>
    <row r="12" spans="1:4" x14ac:dyDescent="0.3">
      <c r="A12" s="7" t="s">
        <v>12</v>
      </c>
      <c r="B12" s="10">
        <v>2</v>
      </c>
      <c r="C12" s="2"/>
      <c r="D12" s="9"/>
    </row>
    <row r="13" spans="1:4" x14ac:dyDescent="0.3">
      <c r="A13" s="7" t="s">
        <v>13</v>
      </c>
      <c r="B13" s="10">
        <v>0.9</v>
      </c>
      <c r="C13" s="2"/>
      <c r="D13" s="9"/>
    </row>
    <row r="14" spans="1:4" x14ac:dyDescent="0.3">
      <c r="A14" s="7"/>
      <c r="B14" s="2"/>
      <c r="C14" s="2"/>
      <c r="D14" s="9"/>
    </row>
    <row r="15" spans="1:4" x14ac:dyDescent="0.3">
      <c r="A15" s="12" t="s">
        <v>14</v>
      </c>
      <c r="B15" s="13" t="s">
        <v>3</v>
      </c>
      <c r="C15" s="13" t="s">
        <v>15</v>
      </c>
      <c r="D15" s="14" t="s">
        <v>16</v>
      </c>
    </row>
    <row r="16" spans="1:4" x14ac:dyDescent="0.3">
      <c r="A16" s="7" t="s">
        <v>17</v>
      </c>
      <c r="B16" s="15">
        <f>IF(OR(B7&lt;=0,B8&lt;=0,B9&lt;=0),"",IF(B6="Masculino",(10*B8)+(6.25*B9)-(5*B7)+5,(10*B8)+(6.25*B9)-(5*B7)-161))</f>
        <v>1822.5</v>
      </c>
      <c r="C16" s="2" t="s">
        <v>18</v>
      </c>
      <c r="D16" s="9" t="s">
        <v>19</v>
      </c>
    </row>
    <row r="17" spans="1:4" x14ac:dyDescent="0.3">
      <c r="A17" s="7" t="s">
        <v>20</v>
      </c>
      <c r="B17" s="15">
        <f>IF(B10="Sedentário",1.2,IF(B10="Leve (1–3x/semana)",1.375,IF(B10="Moderado (3–5x/semana)",1.55,IF(B10="Intenso (6–7x/semana)",1.725,IF(B10="Muito intenso / trabalho físico",1.9,"")))))</f>
        <v>1.7250000000000001</v>
      </c>
      <c r="C17" s="2" t="s">
        <v>21</v>
      </c>
      <c r="D17" s="9" t="s">
        <v>22</v>
      </c>
    </row>
    <row r="18" spans="1:4" x14ac:dyDescent="0.3">
      <c r="A18" s="7" t="s">
        <v>23</v>
      </c>
      <c r="B18" s="15">
        <f>IF(OR(B16="",B17=""),"",B16*B17)</f>
        <v>3143.8125</v>
      </c>
      <c r="C18" s="2" t="s">
        <v>18</v>
      </c>
      <c r="D18" s="9" t="s">
        <v>24</v>
      </c>
    </row>
    <row r="19" spans="1:4" ht="28.8" x14ac:dyDescent="0.3">
      <c r="A19" s="21" t="s">
        <v>25</v>
      </c>
      <c r="B19" s="20">
        <f>IF(B18="","",B18+B11)</f>
        <v>3493.8125</v>
      </c>
      <c r="C19" s="22" t="s">
        <v>18</v>
      </c>
      <c r="D19" s="23" t="s">
        <v>26</v>
      </c>
    </row>
    <row r="20" spans="1:4" x14ac:dyDescent="0.3">
      <c r="A20" s="7" t="s">
        <v>27</v>
      </c>
      <c r="B20" s="15">
        <f>IF(OR(B8&lt;=0,B12&lt;=0),"",B8*B12)</f>
        <v>166</v>
      </c>
      <c r="C20" s="2" t="s">
        <v>28</v>
      </c>
      <c r="D20" s="9" t="s">
        <v>29</v>
      </c>
    </row>
    <row r="21" spans="1:4" x14ac:dyDescent="0.3">
      <c r="A21" s="7" t="s">
        <v>30</v>
      </c>
      <c r="B21" s="15">
        <f>IF(OR(B8&lt;=0,B13&lt;=0),"",B8*B13)</f>
        <v>74.7</v>
      </c>
      <c r="C21" s="2" t="s">
        <v>28</v>
      </c>
      <c r="D21" s="9" t="s">
        <v>31</v>
      </c>
    </row>
    <row r="22" spans="1:4" x14ac:dyDescent="0.3">
      <c r="A22" s="7" t="s">
        <v>32</v>
      </c>
      <c r="B22" s="15">
        <f>IF(OR(B19="",B20="",B21=""),"",IF((B19-(B20*4)-(B21*9))&lt;0,0,(B19-(B20*4)-(B21*9))/4))</f>
        <v>539.37812499999995</v>
      </c>
      <c r="C22" s="2" t="s">
        <v>28</v>
      </c>
      <c r="D22" s="9" t="s">
        <v>33</v>
      </c>
    </row>
    <row r="23" spans="1:4" x14ac:dyDescent="0.3">
      <c r="A23" s="16" t="s">
        <v>34</v>
      </c>
      <c r="B23" s="17">
        <f>IF(OR(B20="",B21="",B22=""),"",B20*4+B21*9+B22*4)</f>
        <v>3493.8125</v>
      </c>
      <c r="C23" s="18" t="s">
        <v>18</v>
      </c>
      <c r="D23" s="19" t="s">
        <v>35</v>
      </c>
    </row>
    <row r="24" spans="1:4" x14ac:dyDescent="0.3">
      <c r="A24" s="2"/>
      <c r="B24" s="2"/>
      <c r="C24" s="2"/>
      <c r="D24" s="2"/>
    </row>
    <row r="25" spans="1:4" x14ac:dyDescent="0.3">
      <c r="A25" s="51" t="s">
        <v>36</v>
      </c>
      <c r="B25" s="51"/>
      <c r="C25" s="51"/>
      <c r="D25" s="51"/>
    </row>
    <row r="26" spans="1:4" x14ac:dyDescent="0.3">
      <c r="A26" s="52" t="s">
        <v>37</v>
      </c>
      <c r="B26" s="52"/>
      <c r="C26" s="52"/>
      <c r="D26" s="52"/>
    </row>
    <row r="27" spans="1:4" x14ac:dyDescent="0.3">
      <c r="A27" s="52"/>
      <c r="B27" s="52"/>
      <c r="C27" s="52"/>
      <c r="D27" s="52"/>
    </row>
    <row r="28" spans="1:4" x14ac:dyDescent="0.3">
      <c r="A28" s="52"/>
      <c r="B28" s="52"/>
      <c r="C28" s="52"/>
      <c r="D28" s="52"/>
    </row>
    <row r="29" spans="1:4" x14ac:dyDescent="0.3">
      <c r="A29" s="52"/>
      <c r="B29" s="52"/>
      <c r="C29" s="52"/>
      <c r="D29" s="52"/>
    </row>
    <row r="30" spans="1:4" x14ac:dyDescent="0.3">
      <c r="A30" s="2"/>
      <c r="B30" s="2"/>
      <c r="C30" s="2"/>
      <c r="D30" s="2"/>
    </row>
    <row r="31" spans="1:4" x14ac:dyDescent="0.3">
      <c r="A31" s="53" t="s">
        <v>38</v>
      </c>
      <c r="B31" s="53"/>
      <c r="C31" s="53"/>
      <c r="D31" s="53"/>
    </row>
    <row r="32" spans="1:4" x14ac:dyDescent="0.3">
      <c r="A32" s="53"/>
      <c r="B32" s="53"/>
      <c r="C32" s="53"/>
      <c r="D32" s="53"/>
    </row>
  </sheetData>
  <mergeCells count="5">
    <mergeCell ref="A1:D1"/>
    <mergeCell ref="A3:D3"/>
    <mergeCell ref="A25:D25"/>
    <mergeCell ref="A26:D29"/>
    <mergeCell ref="A31:D32"/>
  </mergeCells>
  <dataValidations count="1">
    <dataValidation type="list" sqref="B6" xr:uid="{00000000-0002-0000-0000-000000000000}">
      <formula1>"Masculino,Feminino"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1000000}">
          <x14:formula1>
            <xm:f>Referências!$A$2:$A$6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B2" sqref="B2"/>
    </sheetView>
  </sheetViews>
  <sheetFormatPr defaultRowHeight="14.4" x14ac:dyDescent="0.3"/>
  <cols>
    <col min="1" max="1" width="30" customWidth="1"/>
    <col min="2" max="2" width="14" customWidth="1"/>
    <col min="4" max="4" width="20" customWidth="1"/>
    <col min="5" max="5" width="24" customWidth="1"/>
  </cols>
  <sheetData>
    <row r="1" spans="1:5" x14ac:dyDescent="0.3">
      <c r="A1" s="1" t="s">
        <v>9</v>
      </c>
      <c r="B1" s="1" t="s">
        <v>39</v>
      </c>
      <c r="C1" s="2"/>
      <c r="D1" s="1" t="s">
        <v>40</v>
      </c>
      <c r="E1" s="1" t="s">
        <v>41</v>
      </c>
    </row>
    <row r="2" spans="1:5" x14ac:dyDescent="0.3">
      <c r="A2" s="2" t="s">
        <v>42</v>
      </c>
      <c r="B2" s="2">
        <v>1.2</v>
      </c>
      <c r="C2" s="2"/>
      <c r="D2" s="2" t="s">
        <v>27</v>
      </c>
      <c r="E2" s="2" t="s">
        <v>43</v>
      </c>
    </row>
    <row r="3" spans="1:5" x14ac:dyDescent="0.3">
      <c r="A3" s="2" t="s">
        <v>44</v>
      </c>
      <c r="B3" s="2">
        <v>1.375</v>
      </c>
      <c r="C3" s="2"/>
      <c r="D3" s="2" t="s">
        <v>45</v>
      </c>
      <c r="E3" s="2" t="s">
        <v>46</v>
      </c>
    </row>
    <row r="4" spans="1:5" x14ac:dyDescent="0.3">
      <c r="A4" s="2" t="s">
        <v>10</v>
      </c>
      <c r="B4" s="2">
        <v>1.55</v>
      </c>
      <c r="C4" s="2"/>
      <c r="D4" s="2" t="s">
        <v>47</v>
      </c>
      <c r="E4" s="2" t="s">
        <v>48</v>
      </c>
    </row>
    <row r="5" spans="1:5" x14ac:dyDescent="0.3">
      <c r="A5" s="2" t="s">
        <v>49</v>
      </c>
      <c r="B5" s="2">
        <v>1.7250000000000001</v>
      </c>
      <c r="C5" s="2"/>
      <c r="D5" s="2"/>
      <c r="E5" s="2"/>
    </row>
    <row r="6" spans="1:5" x14ac:dyDescent="0.3">
      <c r="A6" s="2" t="s">
        <v>50</v>
      </c>
      <c r="B6" s="2">
        <v>1.9</v>
      </c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734C-E2AE-424D-B2AE-811C0D132D64}">
  <dimension ref="A1:H46"/>
  <sheetViews>
    <sheetView topLeftCell="A2" workbookViewId="0">
      <selection activeCell="G18" sqref="G18"/>
    </sheetView>
  </sheetViews>
  <sheetFormatPr defaultRowHeight="14.4" x14ac:dyDescent="0.3"/>
  <cols>
    <col min="1" max="1" width="19.44140625" style="24" bestFit="1" customWidth="1"/>
    <col min="2" max="2" width="25.109375" style="24" bestFit="1" customWidth="1"/>
    <col min="3" max="3" width="21.6640625" style="24" bestFit="1" customWidth="1"/>
    <col min="5" max="5" width="18" style="24" bestFit="1" customWidth="1"/>
    <col min="6" max="6" width="12.21875" style="24" bestFit="1" customWidth="1"/>
    <col min="7" max="7" width="14.21875" style="24" bestFit="1" customWidth="1"/>
    <col min="8" max="8" width="42.21875" style="24" bestFit="1" customWidth="1"/>
  </cols>
  <sheetData>
    <row r="1" spans="1:8" ht="15" thickBot="1" x14ac:dyDescent="0.35">
      <c r="A1" s="31" t="s">
        <v>51</v>
      </c>
      <c r="B1" s="32" t="s">
        <v>52</v>
      </c>
      <c r="C1" s="33" t="s">
        <v>53</v>
      </c>
      <c r="E1" s="46" t="s">
        <v>93</v>
      </c>
      <c r="F1" s="47" t="s">
        <v>99</v>
      </c>
      <c r="G1" s="47" t="s">
        <v>51</v>
      </c>
      <c r="H1" s="48" t="s">
        <v>100</v>
      </c>
    </row>
    <row r="2" spans="1:8" x14ac:dyDescent="0.3">
      <c r="A2" s="57" t="s">
        <v>54</v>
      </c>
      <c r="B2" s="25" t="s">
        <v>55</v>
      </c>
      <c r="C2" s="26" t="s">
        <v>56</v>
      </c>
      <c r="E2" s="54" t="s">
        <v>94</v>
      </c>
      <c r="F2" s="34" t="s">
        <v>101</v>
      </c>
      <c r="G2" s="34" t="s">
        <v>102</v>
      </c>
      <c r="H2" s="35" t="s">
        <v>103</v>
      </c>
    </row>
    <row r="3" spans="1:8" x14ac:dyDescent="0.3">
      <c r="A3" s="58"/>
      <c r="B3" s="27" t="s">
        <v>57</v>
      </c>
      <c r="C3" s="28" t="s">
        <v>58</v>
      </c>
      <c r="E3" s="55"/>
      <c r="F3" s="36" t="s">
        <v>104</v>
      </c>
      <c r="G3" s="36" t="s">
        <v>105</v>
      </c>
      <c r="H3" s="37" t="s">
        <v>106</v>
      </c>
    </row>
    <row r="4" spans="1:8" x14ac:dyDescent="0.3">
      <c r="A4" s="58"/>
      <c r="B4" s="27" t="s">
        <v>59</v>
      </c>
      <c r="C4" s="28" t="s">
        <v>60</v>
      </c>
      <c r="E4" s="55"/>
      <c r="F4" s="36" t="s">
        <v>107</v>
      </c>
      <c r="G4" s="36" t="s">
        <v>108</v>
      </c>
      <c r="H4" s="37" t="s">
        <v>109</v>
      </c>
    </row>
    <row r="5" spans="1:8" x14ac:dyDescent="0.3">
      <c r="A5" s="58"/>
      <c r="B5" s="27" t="s">
        <v>61</v>
      </c>
      <c r="C5" s="28" t="s">
        <v>62</v>
      </c>
      <c r="E5" s="55"/>
      <c r="F5" s="38" t="s">
        <v>110</v>
      </c>
      <c r="G5" s="38" t="s">
        <v>111</v>
      </c>
      <c r="H5" s="39" t="s">
        <v>112</v>
      </c>
    </row>
    <row r="6" spans="1:8" ht="15" thickBot="1" x14ac:dyDescent="0.35">
      <c r="A6" s="59"/>
      <c r="B6" s="29" t="s">
        <v>63</v>
      </c>
      <c r="C6" s="30" t="s">
        <v>64</v>
      </c>
      <c r="E6" s="55"/>
      <c r="F6" s="36" t="s">
        <v>113</v>
      </c>
      <c r="G6" s="36" t="s">
        <v>114</v>
      </c>
      <c r="H6" s="37" t="s">
        <v>115</v>
      </c>
    </row>
    <row r="7" spans="1:8" ht="15" thickBot="1" x14ac:dyDescent="0.35">
      <c r="A7" s="57" t="s">
        <v>65</v>
      </c>
      <c r="B7" s="25" t="s">
        <v>66</v>
      </c>
      <c r="C7" s="26" t="s">
        <v>58</v>
      </c>
      <c r="E7" s="56"/>
      <c r="F7" s="40" t="s">
        <v>116</v>
      </c>
      <c r="G7" s="40" t="s">
        <v>117</v>
      </c>
      <c r="H7" s="41" t="s">
        <v>118</v>
      </c>
    </row>
    <row r="8" spans="1:8" ht="15" thickBot="1" x14ac:dyDescent="0.35">
      <c r="A8" s="59"/>
      <c r="B8" s="29" t="s">
        <v>67</v>
      </c>
      <c r="C8" s="30" t="s">
        <v>68</v>
      </c>
      <c r="E8" s="54" t="s">
        <v>95</v>
      </c>
      <c r="F8" s="34" t="s">
        <v>101</v>
      </c>
      <c r="G8" s="34" t="s">
        <v>102</v>
      </c>
      <c r="H8" s="35" t="s">
        <v>103</v>
      </c>
    </row>
    <row r="9" spans="1:8" x14ac:dyDescent="0.3">
      <c r="A9" s="57" t="s">
        <v>69</v>
      </c>
      <c r="B9" s="25" t="s">
        <v>70</v>
      </c>
      <c r="C9" s="26" t="s">
        <v>71</v>
      </c>
      <c r="E9" s="55"/>
      <c r="F9" s="38" t="s">
        <v>119</v>
      </c>
      <c r="G9" s="38" t="s">
        <v>120</v>
      </c>
      <c r="H9" s="39" t="s">
        <v>121</v>
      </c>
    </row>
    <row r="10" spans="1:8" x14ac:dyDescent="0.3">
      <c r="A10" s="58"/>
      <c r="B10" s="27" t="s">
        <v>72</v>
      </c>
      <c r="C10" s="28" t="s">
        <v>73</v>
      </c>
      <c r="E10" s="55"/>
      <c r="F10" s="36" t="s">
        <v>107</v>
      </c>
      <c r="G10" s="36" t="s">
        <v>122</v>
      </c>
      <c r="H10" s="37" t="s">
        <v>115</v>
      </c>
    </row>
    <row r="11" spans="1:8" x14ac:dyDescent="0.3">
      <c r="A11" s="58"/>
      <c r="B11" s="27" t="s">
        <v>74</v>
      </c>
      <c r="C11" s="28" t="s">
        <v>75</v>
      </c>
      <c r="E11" s="55"/>
      <c r="F11" s="38" t="s">
        <v>123</v>
      </c>
      <c r="G11" s="38" t="s">
        <v>124</v>
      </c>
      <c r="H11" s="39" t="s">
        <v>118</v>
      </c>
    </row>
    <row r="12" spans="1:8" x14ac:dyDescent="0.3">
      <c r="A12" s="58"/>
      <c r="B12" s="27" t="s">
        <v>76</v>
      </c>
      <c r="C12" s="28" t="s">
        <v>77</v>
      </c>
      <c r="E12" s="55"/>
      <c r="F12" s="38" t="s">
        <v>125</v>
      </c>
      <c r="G12" s="38" t="s">
        <v>126</v>
      </c>
      <c r="H12" s="39" t="s">
        <v>127</v>
      </c>
    </row>
    <row r="13" spans="1:8" ht="15" thickBot="1" x14ac:dyDescent="0.35">
      <c r="A13" s="59"/>
      <c r="B13" s="29" t="s">
        <v>78</v>
      </c>
      <c r="C13" s="30" t="s">
        <v>75</v>
      </c>
      <c r="E13" s="55"/>
      <c r="F13" s="36" t="s">
        <v>128</v>
      </c>
      <c r="G13" s="36" t="s">
        <v>129</v>
      </c>
      <c r="H13" s="37" t="s">
        <v>115</v>
      </c>
    </row>
    <row r="14" spans="1:8" ht="15" thickBot="1" x14ac:dyDescent="0.35">
      <c r="A14" s="57" t="s">
        <v>79</v>
      </c>
      <c r="B14" s="25" t="s">
        <v>55</v>
      </c>
      <c r="C14" s="26" t="s">
        <v>56</v>
      </c>
      <c r="E14" s="56"/>
      <c r="F14" s="40" t="s">
        <v>130</v>
      </c>
      <c r="G14" s="40" t="s">
        <v>117</v>
      </c>
      <c r="H14" s="41" t="s">
        <v>131</v>
      </c>
    </row>
    <row r="15" spans="1:8" x14ac:dyDescent="0.3">
      <c r="A15" s="58"/>
      <c r="B15" s="27" t="s">
        <v>80</v>
      </c>
      <c r="C15" s="28" t="s">
        <v>58</v>
      </c>
      <c r="E15" s="54" t="s">
        <v>96</v>
      </c>
      <c r="F15" s="34" t="s">
        <v>101</v>
      </c>
      <c r="G15" s="34" t="s">
        <v>102</v>
      </c>
      <c r="H15" s="35" t="s">
        <v>103</v>
      </c>
    </row>
    <row r="16" spans="1:8" x14ac:dyDescent="0.3">
      <c r="A16" s="58"/>
      <c r="B16" s="27" t="s">
        <v>63</v>
      </c>
      <c r="C16" s="28" t="s">
        <v>64</v>
      </c>
      <c r="E16" s="55"/>
      <c r="F16" s="36" t="s">
        <v>104</v>
      </c>
      <c r="G16" s="36" t="s">
        <v>105</v>
      </c>
      <c r="H16" s="37" t="s">
        <v>106</v>
      </c>
    </row>
    <row r="17" spans="1:8" ht="15" thickBot="1" x14ac:dyDescent="0.35">
      <c r="A17" s="59"/>
      <c r="B17" s="29" t="s">
        <v>81</v>
      </c>
      <c r="C17" s="30" t="s">
        <v>82</v>
      </c>
      <c r="E17" s="55"/>
      <c r="F17" s="36" t="s">
        <v>107</v>
      </c>
      <c r="G17" s="36" t="s">
        <v>108</v>
      </c>
      <c r="H17" s="37" t="s">
        <v>118</v>
      </c>
    </row>
    <row r="18" spans="1:8" x14ac:dyDescent="0.3">
      <c r="A18" s="57" t="s">
        <v>83</v>
      </c>
      <c r="B18" s="25" t="s">
        <v>70</v>
      </c>
      <c r="C18" s="26" t="s">
        <v>84</v>
      </c>
      <c r="E18" s="55"/>
      <c r="F18" s="38" t="s">
        <v>110</v>
      </c>
      <c r="G18" s="38" t="s">
        <v>111</v>
      </c>
      <c r="H18" s="39" t="s">
        <v>112</v>
      </c>
    </row>
    <row r="19" spans="1:8" x14ac:dyDescent="0.3">
      <c r="A19" s="58"/>
      <c r="B19" s="27" t="s">
        <v>85</v>
      </c>
      <c r="C19" s="28" t="s">
        <v>86</v>
      </c>
      <c r="E19" s="55"/>
      <c r="F19" s="36" t="s">
        <v>113</v>
      </c>
      <c r="G19" s="36" t="s">
        <v>114</v>
      </c>
      <c r="H19" s="37" t="s">
        <v>115</v>
      </c>
    </row>
    <row r="20" spans="1:8" ht="15" thickBot="1" x14ac:dyDescent="0.35">
      <c r="A20" s="58"/>
      <c r="B20" s="27" t="s">
        <v>87</v>
      </c>
      <c r="C20" s="28" t="s">
        <v>82</v>
      </c>
      <c r="E20" s="56"/>
      <c r="F20" s="40" t="s">
        <v>116</v>
      </c>
      <c r="G20" s="40" t="s">
        <v>117</v>
      </c>
      <c r="H20" s="41" t="s">
        <v>118</v>
      </c>
    </row>
    <row r="21" spans="1:8" x14ac:dyDescent="0.3">
      <c r="A21" s="58"/>
      <c r="B21" s="27" t="s">
        <v>88</v>
      </c>
      <c r="C21" s="28" t="s">
        <v>82</v>
      </c>
      <c r="E21" s="54" t="s">
        <v>132</v>
      </c>
      <c r="F21" s="34" t="s">
        <v>101</v>
      </c>
      <c r="G21" s="34" t="s">
        <v>102</v>
      </c>
      <c r="H21" s="35" t="s">
        <v>133</v>
      </c>
    </row>
    <row r="22" spans="1:8" ht="15" thickBot="1" x14ac:dyDescent="0.35">
      <c r="A22" s="59"/>
      <c r="B22" s="29" t="s">
        <v>89</v>
      </c>
      <c r="C22" s="30" t="s">
        <v>68</v>
      </c>
      <c r="E22" s="55"/>
      <c r="F22" s="36" t="s">
        <v>104</v>
      </c>
      <c r="G22" s="36" t="s">
        <v>105</v>
      </c>
      <c r="H22" s="37" t="s">
        <v>134</v>
      </c>
    </row>
    <row r="23" spans="1:8" x14ac:dyDescent="0.3">
      <c r="A23" s="57" t="s">
        <v>90</v>
      </c>
      <c r="B23" s="25" t="s">
        <v>59</v>
      </c>
      <c r="C23" s="26" t="s">
        <v>60</v>
      </c>
      <c r="E23" s="55"/>
      <c r="F23" s="36" t="s">
        <v>107</v>
      </c>
      <c r="G23" s="36" t="s">
        <v>135</v>
      </c>
      <c r="H23" s="37" t="s">
        <v>136</v>
      </c>
    </row>
    <row r="24" spans="1:8" ht="15" thickBot="1" x14ac:dyDescent="0.35">
      <c r="A24" s="59"/>
      <c r="B24" s="29" t="s">
        <v>91</v>
      </c>
      <c r="C24" s="30" t="s">
        <v>92</v>
      </c>
      <c r="E24" s="55"/>
      <c r="F24" s="36" t="s">
        <v>137</v>
      </c>
      <c r="G24" s="36" t="s">
        <v>105</v>
      </c>
      <c r="H24" s="37" t="s">
        <v>138</v>
      </c>
    </row>
    <row r="25" spans="1:8" x14ac:dyDescent="0.3">
      <c r="E25" s="55"/>
      <c r="F25" s="38" t="s">
        <v>139</v>
      </c>
      <c r="G25" s="38" t="s">
        <v>120</v>
      </c>
      <c r="H25" s="39" t="s">
        <v>140</v>
      </c>
    </row>
    <row r="26" spans="1:8" x14ac:dyDescent="0.3">
      <c r="E26" s="55"/>
      <c r="F26" s="36" t="s">
        <v>141</v>
      </c>
      <c r="G26" s="36" t="s">
        <v>122</v>
      </c>
      <c r="H26" s="37" t="s">
        <v>115</v>
      </c>
    </row>
    <row r="27" spans="1:8" ht="15" thickBot="1" x14ac:dyDescent="0.35">
      <c r="E27" s="56"/>
      <c r="F27" s="40" t="s">
        <v>142</v>
      </c>
      <c r="G27" s="40" t="s">
        <v>117</v>
      </c>
      <c r="H27" s="41" t="s">
        <v>118</v>
      </c>
    </row>
    <row r="28" spans="1:8" x14ac:dyDescent="0.3">
      <c r="E28" s="54" t="s">
        <v>143</v>
      </c>
      <c r="F28" s="34" t="s">
        <v>101</v>
      </c>
      <c r="G28" s="34" t="s">
        <v>102</v>
      </c>
      <c r="H28" s="35" t="s">
        <v>133</v>
      </c>
    </row>
    <row r="29" spans="1:8" x14ac:dyDescent="0.3">
      <c r="E29" s="55"/>
      <c r="F29" s="36" t="s">
        <v>104</v>
      </c>
      <c r="G29" s="36" t="s">
        <v>105</v>
      </c>
      <c r="H29" s="37" t="s">
        <v>134</v>
      </c>
    </row>
    <row r="30" spans="1:8" x14ac:dyDescent="0.3">
      <c r="E30" s="55"/>
      <c r="F30" s="36" t="s">
        <v>107</v>
      </c>
      <c r="G30" s="36" t="s">
        <v>135</v>
      </c>
      <c r="H30" s="37" t="s">
        <v>118</v>
      </c>
    </row>
    <row r="31" spans="1:8" x14ac:dyDescent="0.3">
      <c r="E31" s="55"/>
      <c r="F31" s="36" t="s">
        <v>144</v>
      </c>
      <c r="G31" s="36" t="s">
        <v>105</v>
      </c>
      <c r="H31" s="37" t="s">
        <v>134</v>
      </c>
    </row>
    <row r="32" spans="1:8" x14ac:dyDescent="0.3">
      <c r="E32" s="55"/>
      <c r="F32" s="38" t="s">
        <v>110</v>
      </c>
      <c r="G32" s="38" t="s">
        <v>111</v>
      </c>
      <c r="H32" s="39" t="s">
        <v>140</v>
      </c>
    </row>
    <row r="33" spans="5:8" x14ac:dyDescent="0.3">
      <c r="E33" s="55"/>
      <c r="F33" s="36" t="s">
        <v>113</v>
      </c>
      <c r="G33" s="36" t="s">
        <v>114</v>
      </c>
      <c r="H33" s="37" t="s">
        <v>115</v>
      </c>
    </row>
    <row r="34" spans="5:8" ht="15" thickBot="1" x14ac:dyDescent="0.35">
      <c r="E34" s="56"/>
      <c r="F34" s="40" t="s">
        <v>116</v>
      </c>
      <c r="G34" s="40" t="s">
        <v>117</v>
      </c>
      <c r="H34" s="41" t="s">
        <v>118</v>
      </c>
    </row>
    <row r="35" spans="5:8" x14ac:dyDescent="0.3">
      <c r="E35" s="54" t="s">
        <v>97</v>
      </c>
      <c r="F35" s="42" t="s">
        <v>145</v>
      </c>
      <c r="G35" s="42" t="s">
        <v>120</v>
      </c>
      <c r="H35" s="43" t="s">
        <v>146</v>
      </c>
    </row>
    <row r="36" spans="5:8" x14ac:dyDescent="0.3">
      <c r="E36" s="55"/>
      <c r="F36" s="36" t="s">
        <v>147</v>
      </c>
      <c r="G36" s="36" t="s">
        <v>122</v>
      </c>
      <c r="H36" s="37" t="s">
        <v>115</v>
      </c>
    </row>
    <row r="37" spans="5:8" x14ac:dyDescent="0.3">
      <c r="E37" s="55"/>
      <c r="F37" s="38" t="s">
        <v>148</v>
      </c>
      <c r="G37" s="38" t="s">
        <v>149</v>
      </c>
      <c r="H37" s="39" t="s">
        <v>150</v>
      </c>
    </row>
    <row r="38" spans="5:8" x14ac:dyDescent="0.3">
      <c r="E38" s="55"/>
      <c r="F38" s="36" t="s">
        <v>151</v>
      </c>
      <c r="G38" s="36" t="s">
        <v>108</v>
      </c>
      <c r="H38" s="37" t="s">
        <v>152</v>
      </c>
    </row>
    <row r="39" spans="5:8" x14ac:dyDescent="0.3">
      <c r="E39" s="55"/>
      <c r="F39" s="36" t="s">
        <v>137</v>
      </c>
      <c r="G39" s="36" t="s">
        <v>105</v>
      </c>
      <c r="H39" s="37" t="s">
        <v>153</v>
      </c>
    </row>
    <row r="40" spans="5:8" ht="15" thickBot="1" x14ac:dyDescent="0.35">
      <c r="E40" s="56"/>
      <c r="F40" s="44" t="s">
        <v>154</v>
      </c>
      <c r="G40" s="44" t="s">
        <v>155</v>
      </c>
      <c r="H40" s="45" t="s">
        <v>156</v>
      </c>
    </row>
    <row r="41" spans="5:8" x14ac:dyDescent="0.3">
      <c r="E41" s="54" t="s">
        <v>98</v>
      </c>
      <c r="F41" s="34" t="s">
        <v>147</v>
      </c>
      <c r="G41" s="34" t="s">
        <v>102</v>
      </c>
      <c r="H41" s="35" t="s">
        <v>157</v>
      </c>
    </row>
    <row r="42" spans="5:8" x14ac:dyDescent="0.3">
      <c r="E42" s="55"/>
      <c r="F42" s="38" t="s">
        <v>158</v>
      </c>
      <c r="G42" s="38" t="s">
        <v>120</v>
      </c>
      <c r="H42" s="39" t="s">
        <v>159</v>
      </c>
    </row>
    <row r="43" spans="5:8" x14ac:dyDescent="0.3">
      <c r="E43" s="55"/>
      <c r="F43" s="36" t="s">
        <v>160</v>
      </c>
      <c r="G43" s="36" t="s">
        <v>122</v>
      </c>
      <c r="H43" s="37" t="s">
        <v>115</v>
      </c>
    </row>
    <row r="44" spans="5:8" x14ac:dyDescent="0.3">
      <c r="E44" s="55"/>
      <c r="F44" s="38" t="s">
        <v>161</v>
      </c>
      <c r="G44" s="38" t="s">
        <v>124</v>
      </c>
      <c r="H44" s="39" t="s">
        <v>162</v>
      </c>
    </row>
    <row r="45" spans="5:8" x14ac:dyDescent="0.3">
      <c r="E45" s="55"/>
      <c r="F45" s="36" t="s">
        <v>137</v>
      </c>
      <c r="G45" s="36" t="s">
        <v>105</v>
      </c>
      <c r="H45" s="37" t="s">
        <v>134</v>
      </c>
    </row>
    <row r="46" spans="5:8" ht="15" thickBot="1" x14ac:dyDescent="0.35">
      <c r="E46" s="56"/>
      <c r="F46" s="44" t="s">
        <v>154</v>
      </c>
      <c r="G46" s="44" t="s">
        <v>155</v>
      </c>
      <c r="H46" s="45" t="s">
        <v>118</v>
      </c>
    </row>
  </sheetData>
  <mergeCells count="13">
    <mergeCell ref="A23:A24"/>
    <mergeCell ref="A2:A6"/>
    <mergeCell ref="A7:A8"/>
    <mergeCell ref="A9:A13"/>
    <mergeCell ref="A14:A17"/>
    <mergeCell ref="A18:A22"/>
    <mergeCell ref="E35:E40"/>
    <mergeCell ref="E41:E46"/>
    <mergeCell ref="E2:E7"/>
    <mergeCell ref="E8:E14"/>
    <mergeCell ref="E15:E20"/>
    <mergeCell ref="E21:E27"/>
    <mergeCell ref="E28:E3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D93E-81E8-42B4-B203-D26AD30200C5}">
  <dimension ref="A1:O10"/>
  <sheetViews>
    <sheetView tabSelected="1" workbookViewId="0">
      <selection activeCell="G15" sqref="G15"/>
    </sheetView>
  </sheetViews>
  <sheetFormatPr defaultRowHeight="14.4" x14ac:dyDescent="0.3"/>
  <cols>
    <col min="1" max="1" width="6" bestFit="1" customWidth="1"/>
    <col min="2" max="4" width="15" bestFit="1" customWidth="1"/>
    <col min="5" max="8" width="15" customWidth="1"/>
    <col min="10" max="10" width="6" bestFit="1" customWidth="1"/>
    <col min="11" max="15" width="15" bestFit="1" customWidth="1"/>
  </cols>
  <sheetData>
    <row r="1" spans="1:15" ht="15" thickBot="1" x14ac:dyDescent="0.35">
      <c r="A1" s="60"/>
      <c r="B1" s="61" t="s">
        <v>163</v>
      </c>
      <c r="C1" s="61" t="s">
        <v>163</v>
      </c>
      <c r="D1" s="62" t="s">
        <v>163</v>
      </c>
      <c r="E1" s="85"/>
      <c r="F1" s="62" t="s">
        <v>163</v>
      </c>
      <c r="G1" s="62" t="s">
        <v>163</v>
      </c>
      <c r="H1" s="85"/>
      <c r="J1" s="60"/>
      <c r="K1" s="61" t="s">
        <v>164</v>
      </c>
      <c r="L1" s="62" t="s">
        <v>164</v>
      </c>
      <c r="N1" s="63" t="s">
        <v>163</v>
      </c>
      <c r="O1" s="64" t="s">
        <v>163</v>
      </c>
    </row>
    <row r="2" spans="1:15" ht="15" thickBot="1" x14ac:dyDescent="0.35">
      <c r="A2" s="63" t="s">
        <v>165</v>
      </c>
      <c r="B2" s="65" t="s">
        <v>166</v>
      </c>
      <c r="C2" s="65" t="s">
        <v>167</v>
      </c>
      <c r="D2" s="64" t="s">
        <v>168</v>
      </c>
      <c r="E2" s="85"/>
      <c r="F2" s="64" t="s">
        <v>184</v>
      </c>
      <c r="G2" s="64" t="s">
        <v>170</v>
      </c>
      <c r="H2" s="85"/>
      <c r="J2" s="63" t="s">
        <v>165</v>
      </c>
      <c r="K2" s="65" t="s">
        <v>169</v>
      </c>
      <c r="L2" s="64" t="s">
        <v>170</v>
      </c>
      <c r="N2" s="66" t="s">
        <v>171</v>
      </c>
      <c r="O2" s="67" t="s">
        <v>172</v>
      </c>
    </row>
    <row r="3" spans="1:15" x14ac:dyDescent="0.3">
      <c r="A3" s="68">
        <v>0.20833333333333334</v>
      </c>
      <c r="B3" s="69" t="s">
        <v>173</v>
      </c>
      <c r="C3" s="69" t="s">
        <v>173</v>
      </c>
      <c r="D3" s="70" t="s">
        <v>173</v>
      </c>
      <c r="E3" s="68">
        <v>0.20833333333333334</v>
      </c>
      <c r="F3" s="70" t="s">
        <v>173</v>
      </c>
      <c r="G3" s="70" t="s">
        <v>173</v>
      </c>
      <c r="H3" s="86"/>
      <c r="J3" s="71">
        <v>0.20833333333333334</v>
      </c>
      <c r="K3" s="72" t="s">
        <v>174</v>
      </c>
      <c r="L3" s="73" t="s">
        <v>174</v>
      </c>
      <c r="N3" s="60" t="s">
        <v>175</v>
      </c>
      <c r="O3" s="73" t="s">
        <v>174</v>
      </c>
    </row>
    <row r="4" spans="1:15" x14ac:dyDescent="0.3">
      <c r="A4" s="74">
        <v>0.25</v>
      </c>
      <c r="B4" s="75" t="s">
        <v>176</v>
      </c>
      <c r="C4" s="75" t="s">
        <v>176</v>
      </c>
      <c r="D4" s="70" t="s">
        <v>176</v>
      </c>
      <c r="E4" s="74">
        <v>0.25</v>
      </c>
      <c r="F4" s="70" t="s">
        <v>178</v>
      </c>
      <c r="G4" s="70" t="s">
        <v>178</v>
      </c>
      <c r="H4" s="86"/>
      <c r="J4" s="76">
        <v>0.29166666666666669</v>
      </c>
      <c r="K4" s="77" t="s">
        <v>176</v>
      </c>
      <c r="L4" s="70" t="s">
        <v>176</v>
      </c>
      <c r="N4" s="77" t="s">
        <v>177</v>
      </c>
      <c r="O4" s="70"/>
    </row>
    <row r="5" spans="1:15" x14ac:dyDescent="0.3">
      <c r="A5" s="74">
        <v>0.33333333333333331</v>
      </c>
      <c r="B5" s="69" t="s">
        <v>178</v>
      </c>
      <c r="C5" s="69" t="s">
        <v>178</v>
      </c>
      <c r="D5" s="70" t="s">
        <v>178</v>
      </c>
      <c r="E5" s="74">
        <v>0.33333333333333331</v>
      </c>
      <c r="F5" s="75" t="s">
        <v>176</v>
      </c>
      <c r="G5" s="70" t="s">
        <v>176</v>
      </c>
      <c r="H5" s="86"/>
      <c r="J5" s="76">
        <v>0.375</v>
      </c>
      <c r="K5" s="77" t="s">
        <v>179</v>
      </c>
      <c r="L5" s="70" t="s">
        <v>179</v>
      </c>
      <c r="N5" s="77" t="s">
        <v>180</v>
      </c>
      <c r="O5" s="70" t="s">
        <v>180</v>
      </c>
    </row>
    <row r="6" spans="1:15" ht="15" thickBot="1" x14ac:dyDescent="0.35">
      <c r="A6" s="74">
        <v>0.375</v>
      </c>
      <c r="B6" s="69" t="s">
        <v>179</v>
      </c>
      <c r="C6" s="69" t="s">
        <v>179</v>
      </c>
      <c r="D6" s="70" t="s">
        <v>179</v>
      </c>
      <c r="E6" s="86"/>
      <c r="F6" s="69" t="s">
        <v>179</v>
      </c>
      <c r="G6" s="70" t="s">
        <v>179</v>
      </c>
      <c r="H6" s="86"/>
      <c r="J6" s="78">
        <v>0.79166666666666663</v>
      </c>
      <c r="K6" s="79" t="s">
        <v>181</v>
      </c>
      <c r="L6" s="80" t="s">
        <v>182</v>
      </c>
      <c r="N6" s="77" t="s">
        <v>176</v>
      </c>
      <c r="O6" s="70" t="s">
        <v>176</v>
      </c>
    </row>
    <row r="7" spans="1:15" x14ac:dyDescent="0.3">
      <c r="A7" s="74">
        <v>0.8125</v>
      </c>
      <c r="B7" s="24" t="s">
        <v>175</v>
      </c>
      <c r="C7" s="69" t="s">
        <v>180</v>
      </c>
      <c r="D7" s="82" t="s">
        <v>175</v>
      </c>
      <c r="E7" s="74">
        <v>0.8125</v>
      </c>
      <c r="F7" s="82"/>
      <c r="G7" s="82" t="s">
        <v>175</v>
      </c>
      <c r="H7" s="87"/>
      <c r="J7" s="24"/>
      <c r="K7" s="24"/>
      <c r="L7" s="24"/>
      <c r="N7" s="77" t="s">
        <v>178</v>
      </c>
      <c r="O7" s="70" t="s">
        <v>178</v>
      </c>
    </row>
    <row r="8" spans="1:15" ht="15" thickBot="1" x14ac:dyDescent="0.35">
      <c r="A8" s="83">
        <v>0.9375</v>
      </c>
      <c r="B8" s="84" t="s">
        <v>183</v>
      </c>
      <c r="C8" s="84" t="s">
        <v>183</v>
      </c>
      <c r="D8" s="80" t="s">
        <v>183</v>
      </c>
      <c r="E8" s="83">
        <v>0.9375</v>
      </c>
      <c r="F8" s="84" t="s">
        <v>183</v>
      </c>
      <c r="G8" s="80" t="s">
        <v>183</v>
      </c>
      <c r="H8" s="87"/>
      <c r="J8" s="24"/>
      <c r="K8" s="24"/>
      <c r="L8" s="24"/>
      <c r="N8" s="79" t="s">
        <v>173</v>
      </c>
      <c r="O8" s="81" t="s">
        <v>173</v>
      </c>
    </row>
    <row r="9" spans="1:15" x14ac:dyDescent="0.3">
      <c r="J9" s="24"/>
      <c r="K9" s="24"/>
      <c r="L9" s="24"/>
    </row>
    <row r="10" spans="1:15" x14ac:dyDescent="0.3">
      <c r="J10" s="24"/>
      <c r="K10" s="24"/>
      <c r="L10" s="2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Calculadora</vt:lpstr>
      <vt:lpstr>Referências</vt:lpstr>
      <vt:lpstr>Dieta</vt:lpstr>
      <vt:lpstr>Rotina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Jonathan Ernesto</cp:lastModifiedBy>
  <dcterms:created xsi:type="dcterms:W3CDTF">2026-10-04T22:00:23Z</dcterms:created>
  <dcterms:modified xsi:type="dcterms:W3CDTF">2026-10-05T12:22:02Z</dcterms:modified>
</cp:coreProperties>
</file>