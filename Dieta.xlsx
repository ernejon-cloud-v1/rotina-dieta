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9A952BCC-2892-40CC-8E64-27A842BDB6F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alculadora" sheetId="1" r:id="rId1"/>
    <sheet name="Referências" sheetId="2" r:id="rId2"/>
    <sheet name="Dieta" sheetId="3" r:id="rId3"/>
    <sheet name="Rotina" sheetId="4" r:id="rId4"/>
    <sheet name="Dieta até 23-10" sheetId="5" r:id="rId5"/>
  </sheets>
  <calcPr calcId="191029"/>
</workbook>
</file>

<file path=xl/calcChain.xml><?xml version="1.0" encoding="utf-8"?>
<calcChain xmlns="http://schemas.openxmlformats.org/spreadsheetml/2006/main">
  <c r="B21" i="1" l="1"/>
  <c r="B20" i="1"/>
  <c r="B17" i="1"/>
  <c r="B16" i="1"/>
  <c r="B18" i="1" s="1"/>
  <c r="B19" i="1" s="1"/>
  <c r="B22" i="1" s="1"/>
  <c r="B23" i="1" l="1"/>
</calcChain>
</file>

<file path=xl/sharedStrings.xml><?xml version="1.0" encoding="utf-8"?>
<sst xmlns="http://schemas.openxmlformats.org/spreadsheetml/2006/main" count="668" uniqueCount="239">
  <si>
    <t>Calculadora de Calorias e Macros para Ganho de Massa</t>
  </si>
  <si>
    <t>Preencha apenas as células amarelas. Os resultados são calculados automaticamente.</t>
  </si>
  <si>
    <t>SEUS DADOS</t>
  </si>
  <si>
    <t>VALOR</t>
  </si>
  <si>
    <t>Sexo</t>
  </si>
  <si>
    <t>Masculino</t>
  </si>
  <si>
    <t>Idade (anos)</t>
  </si>
  <si>
    <t>Peso (kg)</t>
  </si>
  <si>
    <t>Altura (cm)</t>
  </si>
  <si>
    <t>Nível de atividade</t>
  </si>
  <si>
    <t>Intenso (6–7x/semana)</t>
  </si>
  <si>
    <t>Superávit desejado (kcal)</t>
  </si>
  <si>
    <t>Proteína (g/kg)</t>
  </si>
  <si>
    <t>Gordura (g/kg)</t>
  </si>
  <si>
    <t>RESULTADOS</t>
  </si>
  <si>
    <t>UNIDADE</t>
  </si>
  <si>
    <t>O QUE SIGNIFICA</t>
  </si>
  <si>
    <t>Taxa Metabólica Basal (TMB)</t>
  </si>
  <si>
    <t>kcal/dia</t>
  </si>
  <si>
    <t>Energia que seu corpo gasta em repouso.</t>
  </si>
  <si>
    <t>Fator de atividade</t>
  </si>
  <si>
    <t>x</t>
  </si>
  <si>
    <t>Multiplicador baseado no seu nível de atividade.</t>
  </si>
  <si>
    <t>Gasto Energético Total (GET/TDEE)</t>
  </si>
  <si>
    <t>Estimativa do gasto diário para manter o peso.</t>
  </si>
  <si>
    <t>Meta calórica para ganho de massa</t>
  </si>
  <si>
    <t>GET + superávit escolhido.</t>
  </si>
  <si>
    <t>Proteína</t>
  </si>
  <si>
    <t>g/dia</t>
  </si>
  <si>
    <t>Peso × meta de proteína em g/kg.</t>
  </si>
  <si>
    <t>Gordura</t>
  </si>
  <si>
    <t>Peso × meta de gordura em g/kg.</t>
  </si>
  <si>
    <t>Carboidratos</t>
  </si>
  <si>
    <t>Calorias restantes convertidas em carboidratos.</t>
  </si>
  <si>
    <t>Total calculado de calorias</t>
  </si>
  <si>
    <t>Conferência: proteína + gordura + carboidratos.</t>
  </si>
  <si>
    <t>Como a planilha calcula</t>
  </si>
  <si>
    <t>TMB: fórmula de Mifflin–St Jeor.
GET/TDEE: TMB × fator de atividade.
Meta calórica: GET + superávit.
Macros: proteína e gordura são definidas por g/kg; carboidratos completam as calorias restantes.</t>
  </si>
  <si>
    <t>Observação: estes valores são estimativas para planejamento. A evolução do peso, desempenho e composição corporal deve ser usada para ajustar as calorias ao longo das semanas.</t>
  </si>
  <si>
    <t>Fator</t>
  </si>
  <si>
    <t>Referência</t>
  </si>
  <si>
    <t>Faixa sugerida</t>
  </si>
  <si>
    <t>Sedentário</t>
  </si>
  <si>
    <t>1,6–2,2 g/kg/dia</t>
  </si>
  <si>
    <t>Leve (1–3x/semana)</t>
  </si>
  <si>
    <t>Gorduras</t>
  </si>
  <si>
    <t>0,7–1,0 g/kg/dia</t>
  </si>
  <si>
    <t>Moderado (3–5x/semana)</t>
  </si>
  <si>
    <t>Superávit inicial</t>
  </si>
  <si>
    <t>+200 a +300 kcal/dia</t>
  </si>
  <si>
    <t>Muito intenso / trabalho físico</t>
  </si>
  <si>
    <t>Refeição</t>
  </si>
  <si>
    <t>Alimentos</t>
  </si>
  <si>
    <t>Quantidade aproximada</t>
  </si>
  <si>
    <t>1. Café da manhã</t>
  </si>
  <si>
    <t>Pão</t>
  </si>
  <si>
    <t>2 fatias</t>
  </si>
  <si>
    <t>Muçarela</t>
  </si>
  <si>
    <t>30 g</t>
  </si>
  <si>
    <t>Leite</t>
  </si>
  <si>
    <t>250 ml</t>
  </si>
  <si>
    <t>Aveia</t>
  </si>
  <si>
    <t>40 g</t>
  </si>
  <si>
    <t>Banana</t>
  </si>
  <si>
    <t>1 média</t>
  </si>
  <si>
    <t>2. Lanche da manhã</t>
  </si>
  <si>
    <t>Whey</t>
  </si>
  <si>
    <t>Mamão</t>
  </si>
  <si>
    <t>~200 g</t>
  </si>
  <si>
    <t>3. Almoço</t>
  </si>
  <si>
    <t>Arroz cozido</t>
  </si>
  <si>
    <t>250 g</t>
  </si>
  <si>
    <t>Feijão cozido</t>
  </si>
  <si>
    <t>150 g</t>
  </si>
  <si>
    <t>Frango</t>
  </si>
  <si>
    <t>~80 g</t>
  </si>
  <si>
    <t>Brócolis + couve-flor + alface</t>
  </si>
  <si>
    <t>à vontade / ~200 g</t>
  </si>
  <si>
    <t>Abacate</t>
  </si>
  <si>
    <t>4. Lanche / pré-treino</t>
  </si>
  <si>
    <t>Muçarela ou queijo prato</t>
  </si>
  <si>
    <t>Uva</t>
  </si>
  <si>
    <t>~100 g</t>
  </si>
  <si>
    <t>5. Jantar / pós-treino</t>
  </si>
  <si>
    <t>200 g</t>
  </si>
  <si>
    <t>Feijão</t>
  </si>
  <si>
    <t>100 g</t>
  </si>
  <si>
    <t>Carne bovina magra</t>
  </si>
  <si>
    <t>Batata cozida/assada</t>
  </si>
  <si>
    <t>Brócolis/couve-flor/alface</t>
  </si>
  <si>
    <t>6. Ceia</t>
  </si>
  <si>
    <t>Manga</t>
  </si>
  <si>
    <t>~150 g</t>
  </si>
  <si>
    <t>Até 23/10</t>
  </si>
  <si>
    <t>Após 23/10</t>
  </si>
  <si>
    <t>em casa</t>
  </si>
  <si>
    <t>Atividades físicas</t>
  </si>
  <si>
    <t>rotina</t>
  </si>
  <si>
    <t>segunda-feira</t>
  </si>
  <si>
    <t>terça-feira</t>
  </si>
  <si>
    <t>quarta-feira</t>
  </si>
  <si>
    <t>Kung Fu</t>
  </si>
  <si>
    <t>Francês</t>
  </si>
  <si>
    <t>Samba Rock</t>
  </si>
  <si>
    <t>Tech</t>
  </si>
  <si>
    <t>Academia</t>
  </si>
  <si>
    <t>Inglês</t>
  </si>
  <si>
    <t>Trabalho</t>
  </si>
  <si>
    <t>Almoço/Videogame ou Livro</t>
  </si>
  <si>
    <t>Almoço/Academia</t>
  </si>
  <si>
    <t>Alimentação e Banho</t>
  </si>
  <si>
    <t>Cavaquinho</t>
  </si>
  <si>
    <t>App de Bares</t>
  </si>
  <si>
    <t>Livro</t>
  </si>
  <si>
    <t>Sem horário</t>
  </si>
  <si>
    <t>Alongamento</t>
  </si>
  <si>
    <t>Memorizaton Hack</t>
  </si>
  <si>
    <t>Trabalho presencial</t>
  </si>
  <si>
    <t>quinta-feita</t>
  </si>
  <si>
    <t>sexta-feira</t>
  </si>
  <si>
    <t>Almoço</t>
  </si>
  <si>
    <t>Ir para casa</t>
  </si>
  <si>
    <t>Dia</t>
  </si>
  <si>
    <t>Horário</t>
  </si>
  <si>
    <t>Comida simples</t>
  </si>
  <si>
    <t>Quantidades</t>
  </si>
  <si>
    <t>PLANO NUTRICIONAL</t>
  </si>
  <si>
    <t>Segunda</t>
  </si>
  <si>
    <t>7h15</t>
  </si>
  <si>
    <t>Café da manhã</t>
  </si>
  <si>
    <t>Pão + queijo + leite + aveia + banana</t>
  </si>
  <si>
    <t>Pão|3 fatias
Queijo muçarela/prato|30 g
Leite|250 ml
Aveia|70 g
Banana|1 média</t>
  </si>
  <si>
    <t>Meta calórica</t>
  </si>
  <si>
    <t>~3.494 kcal/dia</t>
  </si>
  <si>
    <t>10h30</t>
  </si>
  <si>
    <t>Lanche</t>
  </si>
  <si>
    <t>Whey + mamão</t>
  </si>
  <si>
    <t>Whey|30 g
Mamão|200 g</t>
  </si>
  <si>
    <t>~166 g/dia</t>
  </si>
  <si>
    <t>13h00</t>
  </si>
  <si>
    <t>Arroz + feijão + frango + legumes + abacate</t>
  </si>
  <si>
    <t>Arroz cozido|350 g
Feijão cozido|150 g
Frango|120 g
Legumes/salada|200 g
Abacate|100 g</t>
  </si>
  <si>
    <t>~75 g/dia</t>
  </si>
  <si>
    <t>16h30</t>
  </si>
  <si>
    <t>Pão + queijo + uva</t>
  </si>
  <si>
    <t>Pão|2 fatias
Queijo|30 g
Uva|100 g</t>
  </si>
  <si>
    <t>Ovo</t>
  </si>
  <si>
    <t>2 refeições/semana</t>
  </si>
  <si>
    <t>17h45</t>
  </si>
  <si>
    <t>Pré-Kung Fu</t>
  </si>
  <si>
    <t>Banana + pão</t>
  </si>
  <si>
    <t>Banana|1 média
Pão|2 fatias</t>
  </si>
  <si>
    <t>Plano principal</t>
  </si>
  <si>
    <t>19h00–21h00</t>
  </si>
  <si>
    <t>🥋 Kung Fu</t>
  </si>
  <si>
    <t>—</t>
  </si>
  <si>
    <t>21h15</t>
  </si>
  <si>
    <t>Jantar / pós</t>
  </si>
  <si>
    <t>Arroz + feijão + carne + batata + legumes</t>
  </si>
  <si>
    <t>Arroz cozido|300 g
Feijão|100 g
Carne bovina magra|120 g
Batata cozida/assada|100 g
Legumes/salada|200 g</t>
  </si>
  <si>
    <t>22h30</t>
  </si>
  <si>
    <t>Ceia</t>
  </si>
  <si>
    <t>Leite + manga</t>
  </si>
  <si>
    <t>Leite|250 ml
Manga|150 g</t>
  </si>
  <si>
    <t>Terça</t>
  </si>
  <si>
    <t>Pão + ovos + leite + aveia + banana</t>
  </si>
  <si>
    <t>Pão|3 fatias
Ovos|2 unidades
Leite|250 ml
Aveia|60 g
Banana|1 média</t>
  </si>
  <si>
    <t>10h15</t>
  </si>
  <si>
    <t>11h20</t>
  </si>
  <si>
    <t>Pré-academia</t>
  </si>
  <si>
    <t>Pão + banana</t>
  </si>
  <si>
    <t>Pão|2 fatias
Banana|1 média</t>
  </si>
  <si>
    <t>12h00–13h00</t>
  </si>
  <si>
    <t>🏋️ Academia</t>
  </si>
  <si>
    <t>13h10</t>
  </si>
  <si>
    <t>Almoço / pós</t>
  </si>
  <si>
    <t>Arroz cozido|350 g
Feijão cozido|150 g
Frango|120 g
Legumes/salada|200 g
Abacate|80 g</t>
  </si>
  <si>
    <t>Pré-Samba</t>
  </si>
  <si>
    <t>Pão|2 fatias
Queijo|30 g
Uva|120 g</t>
  </si>
  <si>
    <t>18h00–20h00</t>
  </si>
  <si>
    <t>🕺 Samba Rock</t>
  </si>
  <si>
    <t>20h15</t>
  </si>
  <si>
    <t>Arroz cozido|300 g
Feijão|100 g
Carne bovina magra|120 g
Batata|100 g
Legumes/salada|200 g</t>
  </si>
  <si>
    <t>22h15</t>
  </si>
  <si>
    <t>Quarta</t>
  </si>
  <si>
    <t>Pão|3 fatias
Queijo|30 g
Leite|250 ml
Aveia|70 g
Banana|1 média</t>
  </si>
  <si>
    <t>Arroz + feijão + carne + legumes + abacate</t>
  </si>
  <si>
    <t>Arroz cozido|350 g
Feijão|150 g
Carne bovina magra|120 g
Legumes/salada|200 g
Abacate|100 g</t>
  </si>
  <si>
    <t>Arroz + feijão + frango + batata + legumes</t>
  </si>
  <si>
    <t>Arroz cozido|300 g
Feijão|100 g
Frango|120 g
Batata|100 g
Legumes/salada|200 g</t>
  </si>
  <si>
    <t>Quinta — presencial</t>
  </si>
  <si>
    <t>Marmita</t>
  </si>
  <si>
    <t>Arroz cozido|350 g
Feijão|150 g
Frango|120 g
Legumes|200 g
Abacate|80 g</t>
  </si>
  <si>
    <t>Lanche no trabalho</t>
  </si>
  <si>
    <t>Pão + queijo + fruta</t>
  </si>
  <si>
    <t>Pão|2 fatias
Queijo|30 g
Banana|1 média</t>
  </si>
  <si>
    <t>19h15</t>
  </si>
  <si>
    <t>Lanche ao chegar / caminho</t>
  </si>
  <si>
    <t>Whey + aveia + leite</t>
  </si>
  <si>
    <t>Whey|30 g
Aveia|40 g
Leite|250 ml</t>
  </si>
  <si>
    <t>20h30</t>
  </si>
  <si>
    <t>Jantar</t>
  </si>
  <si>
    <t>Manga ou mamão</t>
  </si>
  <si>
    <t>Manga|150 g
OU mamão|200 g</t>
  </si>
  <si>
    <t>Sexta — presencial</t>
  </si>
  <si>
    <t>Arroz cozido|350 g
Feijão|150 g
Carne bovina magra|120 g
Legumes|200 g
Abacate|80 g</t>
  </si>
  <si>
    <t>16h15</t>
  </si>
  <si>
    <t>17h30</t>
  </si>
  <si>
    <t>Sábado</t>
  </si>
  <si>
    <t>6h50</t>
  </si>
  <si>
    <t>8h00–9h00</t>
  </si>
  <si>
    <t>9h20</t>
  </si>
  <si>
    <t>Café / pós</t>
  </si>
  <si>
    <t>Pão + ovos + leite + aveia + mamão + whey</t>
  </si>
  <si>
    <t>Pão|3 fatias
Ovos|2 unidades
Leite|250 ml
Aveia|60 g
Mamão|200 g
Whey|30 g</t>
  </si>
  <si>
    <t>Arroz cozido|350 g
Feijão|150 g
Frango|120 g
Legumes/salada|200 g
Abacate|100 g</t>
  </si>
  <si>
    <t>Pão + queijo + banana + uva</t>
  </si>
  <si>
    <t>Pão|2 fatias
Queijo|30 g
Banana|1 média
Uva|100 g</t>
  </si>
  <si>
    <t>20h00</t>
  </si>
  <si>
    <t>Domingo</t>
  </si>
  <si>
    <t>8h00</t>
  </si>
  <si>
    <t>9h50</t>
  </si>
  <si>
    <t>Pão + uva</t>
  </si>
  <si>
    <t>Pão|2 fatias
Uva|100 g</t>
  </si>
  <si>
    <t>11h00–12h00</t>
  </si>
  <si>
    <t>12h30</t>
  </si>
  <si>
    <t>Arroz + feijão + carne + batata + legumes + abacate</t>
  </si>
  <si>
    <t>Arroz cozido|350 g
Feijão|150 g
Carne bovina magra|120 g
Batata|100 g
Legumes/salada|200 g
Abacate|80 g</t>
  </si>
  <si>
    <t>Whey + mamão + pão</t>
  </si>
  <si>
    <t>Whey|30 g
Mamão|200 g
Pão|2 fatias</t>
  </si>
  <si>
    <t>Arroz + feijão + frango + legumes</t>
  </si>
  <si>
    <t>Arroz cozido|300 g
Feijão|100 g
Frango|120 g
Legumes/salada|200 g</t>
  </si>
  <si>
    <t>19h00</t>
  </si>
  <si>
    <t>Leite + aveia + manga</t>
  </si>
  <si>
    <t>Leite|250 ml
Aveia|40 g
Manga|150 g</t>
  </si>
  <si>
    <t>Pão + queijo + banana</t>
  </si>
  <si>
    <t>Lanche ao chegar</t>
  </si>
  <si>
    <t>Arroz + feijão + carne + legumes</t>
  </si>
  <si>
    <t>Arroz cozido|300 g
Feijão|100 g
Carne bovina magra|120 g
Legumes/salada|200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</si>
</sst>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12" x14ac:knownFonts="1">
    <font>
      <sz val="11"/>
      <name val="Carlito"/>
    </font>
    <font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1"/>
      <color rgb="FF244062"/>
      <name val="Carlito"/>
    </font>
    <font>
      <b/>
      <sz val="11"/>
      <name val="Carlito"/>
    </font>
    <font>
      <b/>
      <sz val="11"/>
      <color rgb="FF274E13"/>
      <name val="Carlito"/>
    </font>
    <font>
      <i/>
      <sz val="11"/>
      <color rgb="FF843C0C"/>
      <name val="Carlito"/>
    </font>
    <font>
      <b/>
      <sz val="11"/>
      <color theme="1"/>
      <name val="Calibri"/>
    </font>
    <font>
      <b/>
      <sz val="11"/>
      <color rgb="FF4C1D95"/>
      <name val="Carlito"/>
    </font>
    <font>
      <b/>
      <sz val="11"/>
      <color rgb="FF5B2C06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D9EAD3"/>
      </patternFill>
    </fill>
    <fill>
      <patternFill patternType="solid">
        <fgColor rgb="FFF7F7F7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FFFF00"/>
      </patternFill>
    </fill>
    <fill>
      <patternFill patternType="solid">
        <fgColor rgb="FF70AD47"/>
      </patternFill>
    </fill>
    <fill>
      <patternFill patternType="solid">
        <fgColor rgb="FFEDE9FE"/>
      </patternFill>
    </fill>
    <fill>
      <patternFill patternType="solid">
        <fgColor rgb="FFF4B183"/>
      </patternFill>
    </fill>
    <fill>
      <patternFill patternType="solid">
        <fgColor rgb="FF1F4E78"/>
      </patternFill>
    </fill>
  </fills>
  <borders count="54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9E1F2"/>
      </left>
      <right/>
      <top style="thin">
        <color rgb="FFD9E1F2"/>
      </top>
      <bottom style="medium">
        <color indexed="64"/>
      </bottom>
      <diagonal/>
    </border>
    <border>
      <left/>
      <right/>
      <top style="thin">
        <color rgb="FFD9E1F2"/>
      </top>
      <bottom style="medium">
        <color indexed="64"/>
      </bottom>
      <diagonal/>
    </border>
    <border>
      <left/>
      <right style="medium">
        <color indexed="64"/>
      </right>
      <top style="thin">
        <color rgb="FFD9E1F2"/>
      </top>
      <bottom style="medium">
        <color indexed="64"/>
      </bottom>
      <diagonal/>
    </border>
    <border>
      <left/>
      <right style="thin">
        <color rgb="FFD9E1F2"/>
      </right>
      <top style="thin">
        <color rgb="FFD9E1F2"/>
      </top>
      <bottom/>
      <diagonal/>
    </border>
    <border>
      <left style="thin">
        <color rgb="FFD9E1F2"/>
      </left>
      <right/>
      <top style="medium">
        <color indexed="64"/>
      </top>
      <bottom/>
      <diagonal/>
    </border>
    <border>
      <left/>
      <right style="thin">
        <color rgb="FFD9E1F2"/>
      </right>
      <top/>
      <bottom/>
      <diagonal/>
    </border>
    <border>
      <left style="thin">
        <color rgb="FFD9E1F2"/>
      </left>
      <right/>
      <top/>
      <bottom/>
      <diagonal/>
    </border>
    <border>
      <left style="thin">
        <color rgb="FFD9E1F2"/>
      </left>
      <right/>
      <top/>
      <bottom style="medium">
        <color indexed="64"/>
      </bottom>
      <diagonal/>
    </border>
    <border>
      <left style="thin">
        <color rgb="FFD9E1F2"/>
      </left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 style="thin">
        <color rgb="FFE6D5C3"/>
      </left>
      <right/>
      <top style="thin">
        <color rgb="FFE6D5C3"/>
      </top>
      <bottom/>
      <diagonal/>
    </border>
    <border>
      <left/>
      <right/>
      <top style="thin">
        <color rgb="FFE6D5C3"/>
      </top>
      <bottom/>
      <diagonal/>
    </border>
    <border>
      <left/>
      <right style="thin">
        <color rgb="FFE6D5C3"/>
      </right>
      <top style="thin">
        <color rgb="FFE6D5C3"/>
      </top>
      <bottom/>
      <diagonal/>
    </border>
    <border>
      <left style="thin">
        <color rgb="FFE6D5C3"/>
      </left>
      <right/>
      <top/>
      <bottom/>
      <diagonal/>
    </border>
    <border>
      <left/>
      <right style="thin">
        <color rgb="FFE6D5C3"/>
      </right>
      <top/>
      <bottom/>
      <diagonal/>
    </border>
    <border>
      <left style="thin">
        <color rgb="FFE6D5C3"/>
      </left>
      <right/>
      <top/>
      <bottom style="thin">
        <color rgb="FFE6D5C3"/>
      </bottom>
      <diagonal/>
    </border>
    <border>
      <left/>
      <right/>
      <top/>
      <bottom style="thin">
        <color rgb="FFE6D5C3"/>
      </bottom>
      <diagonal/>
    </border>
    <border>
      <left/>
      <right style="thin">
        <color rgb="FFE6D5C3"/>
      </right>
      <top/>
      <bottom style="thin">
        <color rgb="FFE6D5C3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3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4" borderId="1" xfId="0" applyFont="1" applyFill="1" applyBorder="1" applyAlignment="1">
      <alignment horizontal="center" wrapText="1"/>
    </xf>
    <xf numFmtId="0" fontId="3" fillId="4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6" fillId="5" borderId="0" xfId="0" applyFont="1" applyFill="1" applyAlignment="1">
      <alignment wrapText="1"/>
    </xf>
    <xf numFmtId="0" fontId="0" fillId="0" borderId="5" xfId="0" applyBorder="1" applyAlignment="1">
      <alignment wrapText="1"/>
    </xf>
    <xf numFmtId="164" fontId="6" fillId="5" borderId="0" xfId="0" applyNumberFormat="1" applyFont="1" applyFill="1" applyAlignment="1">
      <alignment wrapText="1"/>
    </xf>
    <xf numFmtId="1" fontId="6" fillId="5" borderId="0" xfId="0" applyNumberFormat="1" applyFont="1" applyFill="1" applyAlignment="1">
      <alignment wrapText="1"/>
    </xf>
    <xf numFmtId="0" fontId="3" fillId="6" borderId="4" xfId="0" applyFont="1" applyFill="1" applyBorder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3" fillId="6" borderId="5" xfId="0" applyFont="1" applyFill="1" applyBorder="1" applyAlignment="1">
      <alignment horizontal="center" wrapText="1"/>
    </xf>
    <xf numFmtId="164" fontId="6" fillId="7" borderId="0" xfId="0" applyNumberFormat="1" applyFont="1" applyFill="1" applyAlignment="1">
      <alignment wrapText="1"/>
    </xf>
    <xf numFmtId="0" fontId="0" fillId="0" borderId="6" xfId="0" applyBorder="1" applyAlignment="1">
      <alignment wrapText="1"/>
    </xf>
    <xf numFmtId="164" fontId="6" fillId="7" borderId="7" xfId="0" applyNumberFormat="1" applyFont="1" applyFill="1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64" fontId="6" fillId="11" borderId="0" xfId="0" applyNumberFormat="1" applyFont="1" applyFill="1" applyAlignment="1">
      <alignment wrapText="1"/>
    </xf>
    <xf numFmtId="0" fontId="6" fillId="11" borderId="4" xfId="0" applyFont="1" applyFill="1" applyBorder="1" applyAlignment="1">
      <alignment wrapText="1"/>
    </xf>
    <xf numFmtId="0" fontId="6" fillId="11" borderId="0" xfId="0" applyFont="1" applyFill="1" applyAlignment="1">
      <alignment wrapText="1"/>
    </xf>
    <xf numFmtId="0" fontId="6" fillId="11" borderId="5" xfId="0" applyFont="1" applyFill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4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" fillId="13" borderId="35" xfId="0" applyFont="1" applyFill="1" applyBorder="1" applyAlignment="1">
      <alignment horizontal="center" vertical="center" wrapText="1"/>
    </xf>
    <xf numFmtId="0" fontId="3" fillId="13" borderId="36" xfId="0" applyFont="1" applyFill="1" applyBorder="1" applyAlignment="1">
      <alignment horizontal="center" vertical="center" wrapText="1"/>
    </xf>
    <xf numFmtId="0" fontId="3" fillId="13" borderId="37" xfId="0" applyFont="1" applyFill="1" applyBorder="1" applyAlignment="1">
      <alignment horizontal="center" vertical="center" wrapText="1"/>
    </xf>
    <xf numFmtId="0" fontId="3" fillId="13" borderId="38" xfId="0" applyFont="1" applyFill="1" applyBorder="1" applyAlignment="1">
      <alignment horizontal="center" vertical="center"/>
    </xf>
    <xf numFmtId="0" fontId="0" fillId="0" borderId="40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 applyAlignment="1">
      <alignment wrapText="1"/>
    </xf>
    <xf numFmtId="0" fontId="6" fillId="0" borderId="41" xfId="0" applyFont="1" applyBorder="1" applyAlignment="1">
      <alignment wrapText="1"/>
    </xf>
    <xf numFmtId="0" fontId="6" fillId="0" borderId="43" xfId="0" applyFont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44" xfId="0" applyBorder="1" applyAlignment="1">
      <alignment horizontal="center" wrapText="1"/>
    </xf>
    <xf numFmtId="0" fontId="6" fillId="14" borderId="15" xfId="0" applyFont="1" applyFill="1" applyBorder="1" applyAlignment="1">
      <alignment horizontal="center" vertical="center" wrapText="1"/>
    </xf>
    <xf numFmtId="0" fontId="6" fillId="14" borderId="16" xfId="0" applyFont="1" applyFill="1" applyBorder="1" applyAlignment="1">
      <alignment horizontal="center" vertical="center" wrapText="1"/>
    </xf>
    <xf numFmtId="0" fontId="0" fillId="14" borderId="40" xfId="0" applyFill="1" applyBorder="1" applyAlignment="1">
      <alignment wrapText="1"/>
    </xf>
    <xf numFmtId="0" fontId="10" fillId="14" borderId="15" xfId="0" applyFont="1" applyFill="1" applyBorder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14" borderId="13" xfId="0" applyFill="1" applyBorder="1" applyAlignment="1">
      <alignment horizontal="center" vertical="center" wrapText="1"/>
    </xf>
    <xf numFmtId="0" fontId="10" fillId="14" borderId="0" xfId="0" applyFont="1" applyFill="1" applyAlignment="1">
      <alignment horizontal="center" vertical="center" wrapText="1"/>
    </xf>
    <xf numFmtId="0" fontId="6" fillId="14" borderId="41" xfId="0" applyFont="1" applyFill="1" applyBorder="1" applyAlignment="1">
      <alignment wrapText="1"/>
    </xf>
    <xf numFmtId="0" fontId="0" fillId="14" borderId="0" xfId="0" applyFill="1" applyAlignment="1">
      <alignment horizontal="center" wrapText="1"/>
    </xf>
    <xf numFmtId="0" fontId="0" fillId="14" borderId="0" xfId="0" applyFill="1" applyAlignment="1">
      <alignment wrapText="1"/>
    </xf>
    <xf numFmtId="0" fontId="10" fillId="14" borderId="0" xfId="0" applyFont="1" applyFill="1" applyAlignment="1">
      <alignment wrapText="1"/>
    </xf>
    <xf numFmtId="0" fontId="11" fillId="15" borderId="46" xfId="0" applyFont="1" applyFill="1" applyBorder="1" applyAlignment="1">
      <alignment horizontal="center" vertical="center"/>
    </xf>
    <xf numFmtId="0" fontId="11" fillId="15" borderId="47" xfId="0" applyFont="1" applyFill="1" applyBorder="1" applyAlignment="1">
      <alignment horizontal="center" vertical="center"/>
    </xf>
    <xf numFmtId="0" fontId="11" fillId="15" borderId="48" xfId="0" applyFont="1" applyFill="1" applyBorder="1" applyAlignment="1">
      <alignment horizontal="center" vertical="center"/>
    </xf>
    <xf numFmtId="0" fontId="0" fillId="0" borderId="50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6" fillId="0" borderId="49" xfId="0" applyFont="1" applyBorder="1" applyAlignment="1">
      <alignment wrapText="1"/>
    </xf>
    <xf numFmtId="0" fontId="6" fillId="0" borderId="51" xfId="0" applyFont="1" applyBorder="1" applyAlignment="1">
      <alignment wrapText="1"/>
    </xf>
    <xf numFmtId="0" fontId="0" fillId="0" borderId="52" xfId="0" applyBorder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7" fillId="8" borderId="0" xfId="0" applyFont="1" applyFill="1" applyAlignment="1">
      <alignment horizontal="center" wrapText="1"/>
    </xf>
    <xf numFmtId="0" fontId="0" fillId="9" borderId="0" xfId="0" applyFill="1" applyAlignment="1">
      <alignment vertical="top" wrapText="1"/>
    </xf>
    <xf numFmtId="0" fontId="8" fillId="10" borderId="0" xfId="0" applyFont="1" applyFill="1" applyAlignment="1">
      <alignment wrapText="1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14" borderId="41" xfId="0" applyFont="1" applyFill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14" borderId="42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3" fillId="16" borderId="0" xfId="0" applyFont="1" applyFill="1" applyAlignment="1">
      <alignment horizontal="center"/>
    </xf>
    <xf numFmtId="165" fontId="9" fillId="0" borderId="31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/>
  </sheetViews>
  <sheetFormatPr defaultRowHeight="14.4" x14ac:dyDescent="0.3"/>
  <cols>
    <col min="1" max="1" width="31" customWidth="1"/>
    <col min="2" max="2" width="20" customWidth="1"/>
    <col min="3" max="3" width="14" customWidth="1"/>
    <col min="4" max="4" width="42" customWidth="1"/>
  </cols>
  <sheetData>
    <row r="1" spans="1:4" ht="15.3" customHeight="1" x14ac:dyDescent="0.3">
      <c r="A1" s="105" t="s">
        <v>0</v>
      </c>
      <c r="B1" s="105"/>
      <c r="C1" s="105"/>
      <c r="D1" s="105"/>
    </row>
    <row r="2" spans="1:4" x14ac:dyDescent="0.3">
      <c r="A2" s="2"/>
      <c r="B2" s="2"/>
      <c r="C2" s="2"/>
      <c r="D2" s="2"/>
    </row>
    <row r="3" spans="1:4" x14ac:dyDescent="0.3">
      <c r="A3" s="106" t="s">
        <v>1</v>
      </c>
      <c r="B3" s="106"/>
      <c r="C3" s="106"/>
      <c r="D3" s="106"/>
    </row>
    <row r="4" spans="1:4" x14ac:dyDescent="0.3">
      <c r="A4" s="2"/>
      <c r="B4" s="2"/>
      <c r="C4" s="2"/>
      <c r="D4" s="2"/>
    </row>
    <row r="5" spans="1:4" x14ac:dyDescent="0.3">
      <c r="A5" s="3" t="s">
        <v>2</v>
      </c>
      <c r="B5" s="4" t="s">
        <v>3</v>
      </c>
      <c r="C5" s="5"/>
      <c r="D5" s="6"/>
    </row>
    <row r="6" spans="1:4" x14ac:dyDescent="0.3">
      <c r="A6" s="7" t="s">
        <v>4</v>
      </c>
      <c r="B6" s="8" t="s">
        <v>5</v>
      </c>
      <c r="C6" s="2"/>
      <c r="D6" s="9"/>
    </row>
    <row r="7" spans="1:4" x14ac:dyDescent="0.3">
      <c r="A7" s="7" t="s">
        <v>6</v>
      </c>
      <c r="B7" s="10">
        <v>25</v>
      </c>
      <c r="C7" s="2"/>
      <c r="D7" s="9"/>
    </row>
    <row r="8" spans="1:4" x14ac:dyDescent="0.3">
      <c r="A8" s="7" t="s">
        <v>7</v>
      </c>
      <c r="B8" s="10">
        <v>83</v>
      </c>
      <c r="C8" s="2"/>
      <c r="D8" s="9"/>
    </row>
    <row r="9" spans="1:4" x14ac:dyDescent="0.3">
      <c r="A9" s="7" t="s">
        <v>8</v>
      </c>
      <c r="B9" s="10">
        <v>178</v>
      </c>
      <c r="C9" s="2"/>
      <c r="D9" s="9"/>
    </row>
    <row r="10" spans="1:4" ht="28.8" x14ac:dyDescent="0.3">
      <c r="A10" s="7" t="s">
        <v>9</v>
      </c>
      <c r="B10" s="10" t="s">
        <v>10</v>
      </c>
      <c r="C10" s="2"/>
      <c r="D10" s="9"/>
    </row>
    <row r="11" spans="1:4" x14ac:dyDescent="0.3">
      <c r="A11" s="7" t="s">
        <v>11</v>
      </c>
      <c r="B11" s="11">
        <v>350</v>
      </c>
      <c r="C11" s="2"/>
      <c r="D11" s="9"/>
    </row>
    <row r="12" spans="1:4" x14ac:dyDescent="0.3">
      <c r="A12" s="7" t="s">
        <v>12</v>
      </c>
      <c r="B12" s="10">
        <v>2</v>
      </c>
      <c r="C12" s="2"/>
      <c r="D12" s="9"/>
    </row>
    <row r="13" spans="1:4" x14ac:dyDescent="0.3">
      <c r="A13" s="7" t="s">
        <v>13</v>
      </c>
      <c r="B13" s="10">
        <v>0.9</v>
      </c>
      <c r="C13" s="2"/>
      <c r="D13" s="9"/>
    </row>
    <row r="14" spans="1:4" x14ac:dyDescent="0.3">
      <c r="A14" s="7"/>
      <c r="B14" s="2"/>
      <c r="C14" s="2"/>
      <c r="D14" s="9"/>
    </row>
    <row r="15" spans="1:4" x14ac:dyDescent="0.3">
      <c r="A15" s="12" t="s">
        <v>14</v>
      </c>
      <c r="B15" s="13" t="s">
        <v>3</v>
      </c>
      <c r="C15" s="13" t="s">
        <v>15</v>
      </c>
      <c r="D15" s="14" t="s">
        <v>16</v>
      </c>
    </row>
    <row r="16" spans="1:4" x14ac:dyDescent="0.3">
      <c r="A16" s="7" t="s">
        <v>17</v>
      </c>
      <c r="B16" s="15">
        <f>IF(OR(B7&lt;=0,B8&lt;=0,B9&lt;=0),"",IF(B6="Masculino",(10*B8)+(6.25*B9)-(5*B7)+5,(10*B8)+(6.25*B9)-(5*B7)-161))</f>
        <v>1822.5</v>
      </c>
      <c r="C16" s="2" t="s">
        <v>18</v>
      </c>
      <c r="D16" s="9" t="s">
        <v>19</v>
      </c>
    </row>
    <row r="17" spans="1:4" x14ac:dyDescent="0.3">
      <c r="A17" s="7" t="s">
        <v>20</v>
      </c>
      <c r="B17" s="15">
        <f>IF(B10="Sedentário",1.2,IF(B10="Leve (1–3x/semana)",1.375,IF(B10="Moderado (3–5x/semana)",1.55,IF(B10="Intenso (6–7x/semana)",1.725,IF(B10="Muito intenso / trabalho físico",1.9,"")))))</f>
        <v>1.7250000000000001</v>
      </c>
      <c r="C17" s="2" t="s">
        <v>21</v>
      </c>
      <c r="D17" s="9" t="s">
        <v>22</v>
      </c>
    </row>
    <row r="18" spans="1:4" x14ac:dyDescent="0.3">
      <c r="A18" s="7" t="s">
        <v>23</v>
      </c>
      <c r="B18" s="15">
        <f>IF(OR(B16="",B17=""),"",B16*B17)</f>
        <v>3143.8125</v>
      </c>
      <c r="C18" s="2" t="s">
        <v>18</v>
      </c>
      <c r="D18" s="9" t="s">
        <v>24</v>
      </c>
    </row>
    <row r="19" spans="1:4" ht="28.8" x14ac:dyDescent="0.3">
      <c r="A19" s="21" t="s">
        <v>25</v>
      </c>
      <c r="B19" s="20">
        <f>IF(B18="","",B18+B11)</f>
        <v>3493.8125</v>
      </c>
      <c r="C19" s="22" t="s">
        <v>18</v>
      </c>
      <c r="D19" s="23" t="s">
        <v>26</v>
      </c>
    </row>
    <row r="20" spans="1:4" x14ac:dyDescent="0.3">
      <c r="A20" s="7" t="s">
        <v>27</v>
      </c>
      <c r="B20" s="15">
        <f>IF(OR(B8&lt;=0,B12&lt;=0),"",B8*B12)</f>
        <v>166</v>
      </c>
      <c r="C20" s="2" t="s">
        <v>28</v>
      </c>
      <c r="D20" s="9" t="s">
        <v>29</v>
      </c>
    </row>
    <row r="21" spans="1:4" x14ac:dyDescent="0.3">
      <c r="A21" s="7" t="s">
        <v>30</v>
      </c>
      <c r="B21" s="15">
        <f>IF(OR(B8&lt;=0,B13&lt;=0),"",B8*B13)</f>
        <v>74.7</v>
      </c>
      <c r="C21" s="2" t="s">
        <v>28</v>
      </c>
      <c r="D21" s="9" t="s">
        <v>31</v>
      </c>
    </row>
    <row r="22" spans="1:4" x14ac:dyDescent="0.3">
      <c r="A22" s="7" t="s">
        <v>32</v>
      </c>
      <c r="B22" s="15">
        <f>IF(OR(B19="",B20="",B21=""),"",IF((B19-(B20*4)-(B21*9))&lt;0,0,(B19-(B20*4)-(B21*9))/4))</f>
        <v>539.37812499999995</v>
      </c>
      <c r="C22" s="2" t="s">
        <v>28</v>
      </c>
      <c r="D22" s="9" t="s">
        <v>33</v>
      </c>
    </row>
    <row r="23" spans="1:4" x14ac:dyDescent="0.3">
      <c r="A23" s="16" t="s">
        <v>34</v>
      </c>
      <c r="B23" s="17">
        <f>IF(OR(B20="",B21="",B22=""),"",B20*4+B21*9+B22*4)</f>
        <v>3493.8125</v>
      </c>
      <c r="C23" s="18" t="s">
        <v>18</v>
      </c>
      <c r="D23" s="19" t="s">
        <v>35</v>
      </c>
    </row>
    <row r="24" spans="1:4" x14ac:dyDescent="0.3">
      <c r="A24" s="2"/>
      <c r="B24" s="2"/>
      <c r="C24" s="2"/>
      <c r="D24" s="2"/>
    </row>
    <row r="25" spans="1:4" x14ac:dyDescent="0.3">
      <c r="A25" s="107" t="s">
        <v>36</v>
      </c>
      <c r="B25" s="107"/>
      <c r="C25" s="107"/>
      <c r="D25" s="107"/>
    </row>
    <row r="26" spans="1:4" x14ac:dyDescent="0.3">
      <c r="A26" s="108" t="s">
        <v>37</v>
      </c>
      <c r="B26" s="108"/>
      <c r="C26" s="108"/>
      <c r="D26" s="108"/>
    </row>
    <row r="27" spans="1:4" x14ac:dyDescent="0.3">
      <c r="A27" s="108"/>
      <c r="B27" s="108"/>
      <c r="C27" s="108"/>
      <c r="D27" s="108"/>
    </row>
    <row r="28" spans="1:4" x14ac:dyDescent="0.3">
      <c r="A28" s="108"/>
      <c r="B28" s="108"/>
      <c r="C28" s="108"/>
      <c r="D28" s="108"/>
    </row>
    <row r="29" spans="1:4" x14ac:dyDescent="0.3">
      <c r="A29" s="108"/>
      <c r="B29" s="108"/>
      <c r="C29" s="108"/>
      <c r="D29" s="108"/>
    </row>
    <row r="30" spans="1:4" x14ac:dyDescent="0.3">
      <c r="A30" s="2"/>
      <c r="B30" s="2"/>
      <c r="C30" s="2"/>
      <c r="D30" s="2"/>
    </row>
    <row r="31" spans="1:4" x14ac:dyDescent="0.3">
      <c r="A31" s="109" t="s">
        <v>38</v>
      </c>
      <c r="B31" s="109"/>
      <c r="C31" s="109"/>
      <c r="D31" s="109"/>
    </row>
    <row r="32" spans="1:4" x14ac:dyDescent="0.3">
      <c r="A32" s="109"/>
      <c r="B32" s="109"/>
      <c r="C32" s="109"/>
      <c r="D32" s="109"/>
    </row>
  </sheetData>
  <mergeCells count="5">
    <mergeCell ref="A1:D1"/>
    <mergeCell ref="A3:D3"/>
    <mergeCell ref="A25:D25"/>
    <mergeCell ref="A26:D29"/>
    <mergeCell ref="A31:D32"/>
  </mergeCells>
  <dataValidations count="1">
    <dataValidation type="list" sqref="B6" xr:uid="{00000000-0002-0000-0000-000000000000}">
      <formula1>"Masculino,Feminino"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defaultRowHeight="14.4" x14ac:dyDescent="0.3"/>
  <cols>
    <col min="1" max="1" width="30" customWidth="1"/>
    <col min="2" max="2" width="14" customWidth="1"/>
    <col min="4" max="4" width="20" customWidth="1"/>
    <col min="5" max="5" width="24" customWidth="1"/>
  </cols>
  <sheetData>
    <row r="1" spans="1:5" x14ac:dyDescent="0.3">
      <c r="A1" s="1" t="s">
        <v>9</v>
      </c>
      <c r="B1" s="1" t="s">
        <v>39</v>
      </c>
      <c r="C1" s="2"/>
      <c r="D1" s="1" t="s">
        <v>40</v>
      </c>
      <c r="E1" s="1" t="s">
        <v>41</v>
      </c>
    </row>
    <row r="2" spans="1:5" x14ac:dyDescent="0.3">
      <c r="A2" s="2" t="s">
        <v>42</v>
      </c>
      <c r="B2" s="2">
        <v>1.2</v>
      </c>
      <c r="C2" s="2"/>
      <c r="D2" s="2" t="s">
        <v>27</v>
      </c>
      <c r="E2" s="2" t="s">
        <v>43</v>
      </c>
    </row>
    <row r="3" spans="1:5" x14ac:dyDescent="0.3">
      <c r="A3" s="2" t="s">
        <v>44</v>
      </c>
      <c r="B3" s="2">
        <v>1.375</v>
      </c>
      <c r="C3" s="2"/>
      <c r="D3" s="2" t="s">
        <v>45</v>
      </c>
      <c r="E3" s="2" t="s">
        <v>46</v>
      </c>
    </row>
    <row r="4" spans="1:5" x14ac:dyDescent="0.3">
      <c r="A4" s="2" t="s">
        <v>47</v>
      </c>
      <c r="B4" s="2">
        <v>1.55</v>
      </c>
      <c r="C4" s="2"/>
      <c r="D4" s="2" t="s">
        <v>48</v>
      </c>
      <c r="E4" s="2" t="s">
        <v>49</v>
      </c>
    </row>
    <row r="5" spans="1:5" x14ac:dyDescent="0.3">
      <c r="A5" s="2" t="s">
        <v>10</v>
      </c>
      <c r="B5" s="2">
        <v>1.7250000000000001</v>
      </c>
      <c r="C5" s="2"/>
      <c r="D5" s="2"/>
      <c r="E5" s="2"/>
    </row>
    <row r="6" spans="1:5" x14ac:dyDescent="0.3">
      <c r="A6" s="2" t="s">
        <v>50</v>
      </c>
      <c r="B6" s="2">
        <v>1.9</v>
      </c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5"/>
  <sheetViews>
    <sheetView tabSelected="1"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9.44140625" style="24" customWidth="1"/>
    <col min="2" max="2" width="25.109375" style="24" customWidth="1"/>
    <col min="3" max="3" width="21.6640625" style="24" customWidth="1"/>
    <col min="5" max="5" width="21" style="24" customWidth="1"/>
    <col min="6" max="6" width="16" style="24" customWidth="1"/>
    <col min="7" max="7" width="22" style="24" customWidth="1"/>
    <col min="8" max="8" width="39" style="24" customWidth="1"/>
    <col min="9" max="9" width="47" customWidth="1"/>
    <col min="11" max="11" width="18" customWidth="1"/>
    <col min="12" max="12" width="24" customWidth="1"/>
  </cols>
  <sheetData>
    <row r="1" spans="1:12" x14ac:dyDescent="0.3">
      <c r="A1" s="31" t="s">
        <v>51</v>
      </c>
      <c r="B1" s="32" t="s">
        <v>52</v>
      </c>
      <c r="C1" s="33" t="s">
        <v>53</v>
      </c>
      <c r="E1" s="74" t="s">
        <v>122</v>
      </c>
      <c r="F1" s="75" t="s">
        <v>123</v>
      </c>
      <c r="G1" s="75" t="s">
        <v>51</v>
      </c>
      <c r="H1" s="76" t="s">
        <v>124</v>
      </c>
      <c r="I1" s="77" t="s">
        <v>125</v>
      </c>
      <c r="K1" s="118" t="s">
        <v>126</v>
      </c>
      <c r="L1" s="118"/>
    </row>
    <row r="2" spans="1:12" ht="72" x14ac:dyDescent="0.3">
      <c r="A2" s="115" t="s">
        <v>54</v>
      </c>
      <c r="B2" s="25" t="s">
        <v>55</v>
      </c>
      <c r="C2" s="26" t="s">
        <v>56</v>
      </c>
      <c r="E2" s="110" t="s">
        <v>127</v>
      </c>
      <c r="F2" s="25" t="s">
        <v>128</v>
      </c>
      <c r="G2" s="25" t="s">
        <v>129</v>
      </c>
      <c r="H2" s="26" t="s">
        <v>130</v>
      </c>
      <c r="I2" s="78" t="s">
        <v>131</v>
      </c>
      <c r="K2" s="2" t="s">
        <v>132</v>
      </c>
      <c r="L2" s="2" t="s">
        <v>133</v>
      </c>
    </row>
    <row r="3" spans="1:12" ht="28.8" x14ac:dyDescent="0.3">
      <c r="A3" s="117"/>
      <c r="B3" s="27" t="s">
        <v>57</v>
      </c>
      <c r="C3" s="28" t="s">
        <v>58</v>
      </c>
      <c r="E3" s="111"/>
      <c r="F3" s="27" t="s">
        <v>134</v>
      </c>
      <c r="G3" s="27" t="s">
        <v>135</v>
      </c>
      <c r="H3" s="28" t="s">
        <v>136</v>
      </c>
      <c r="I3" s="78" t="s">
        <v>137</v>
      </c>
      <c r="K3" s="2" t="s">
        <v>27</v>
      </c>
      <c r="L3" s="2" t="s">
        <v>138</v>
      </c>
    </row>
    <row r="4" spans="1:12" ht="72" x14ac:dyDescent="0.3">
      <c r="A4" s="117"/>
      <c r="B4" s="27" t="s">
        <v>59</v>
      </c>
      <c r="C4" s="28" t="s">
        <v>60</v>
      </c>
      <c r="E4" s="111"/>
      <c r="F4" s="27" t="s">
        <v>139</v>
      </c>
      <c r="G4" s="27" t="s">
        <v>120</v>
      </c>
      <c r="H4" s="28" t="s">
        <v>140</v>
      </c>
      <c r="I4" s="78" t="s">
        <v>141</v>
      </c>
      <c r="K4" s="2" t="s">
        <v>30</v>
      </c>
      <c r="L4" s="2" t="s">
        <v>142</v>
      </c>
    </row>
    <row r="5" spans="1:12" ht="43.2" x14ac:dyDescent="0.3">
      <c r="A5" s="117"/>
      <c r="B5" s="27" t="s">
        <v>61</v>
      </c>
      <c r="C5" s="28" t="s">
        <v>62</v>
      </c>
      <c r="E5" s="111"/>
      <c r="F5" s="68" t="s">
        <v>143</v>
      </c>
      <c r="G5" s="68" t="s">
        <v>135</v>
      </c>
      <c r="H5" s="69" t="s">
        <v>144</v>
      </c>
      <c r="I5" s="78" t="s">
        <v>145</v>
      </c>
      <c r="K5" s="2" t="s">
        <v>146</v>
      </c>
      <c r="L5" s="2" t="s">
        <v>147</v>
      </c>
    </row>
    <row r="6" spans="1:12" ht="28.8" x14ac:dyDescent="0.3">
      <c r="A6" s="116"/>
      <c r="B6" s="29" t="s">
        <v>63</v>
      </c>
      <c r="C6" s="30" t="s">
        <v>64</v>
      </c>
      <c r="E6" s="111"/>
      <c r="F6" s="27" t="s">
        <v>148</v>
      </c>
      <c r="G6" s="27" t="s">
        <v>149</v>
      </c>
      <c r="H6" s="28" t="s">
        <v>150</v>
      </c>
      <c r="I6" s="78" t="s">
        <v>151</v>
      </c>
      <c r="K6" s="2" t="s">
        <v>152</v>
      </c>
      <c r="L6" s="2" t="s">
        <v>94</v>
      </c>
    </row>
    <row r="7" spans="1:12" x14ac:dyDescent="0.3">
      <c r="A7" s="115" t="s">
        <v>65</v>
      </c>
      <c r="B7" s="25" t="s">
        <v>66</v>
      </c>
      <c r="C7" s="26" t="s">
        <v>58</v>
      </c>
      <c r="E7" s="114"/>
      <c r="F7" s="85" t="s">
        <v>153</v>
      </c>
      <c r="G7" s="88" t="s">
        <v>154</v>
      </c>
      <c r="H7" s="86" t="s">
        <v>155</v>
      </c>
      <c r="I7" s="87"/>
    </row>
    <row r="8" spans="1:12" ht="72" x14ac:dyDescent="0.3">
      <c r="A8" s="116"/>
      <c r="B8" s="29" t="s">
        <v>67</v>
      </c>
      <c r="C8" s="30" t="s">
        <v>68</v>
      </c>
      <c r="E8" s="110"/>
      <c r="F8" s="25" t="s">
        <v>156</v>
      </c>
      <c r="G8" s="25" t="s">
        <v>157</v>
      </c>
      <c r="H8" s="26" t="s">
        <v>158</v>
      </c>
      <c r="I8" s="78" t="s">
        <v>159</v>
      </c>
    </row>
    <row r="9" spans="1:12" ht="28.8" x14ac:dyDescent="0.3">
      <c r="A9" s="115" t="s">
        <v>69</v>
      </c>
      <c r="B9" s="25" t="s">
        <v>70</v>
      </c>
      <c r="C9" s="26" t="s">
        <v>71</v>
      </c>
      <c r="E9" s="111"/>
      <c r="F9" s="68" t="s">
        <v>160</v>
      </c>
      <c r="G9" s="68" t="s">
        <v>161</v>
      </c>
      <c r="H9" s="69" t="s">
        <v>162</v>
      </c>
      <c r="I9" s="78" t="s">
        <v>163</v>
      </c>
    </row>
    <row r="10" spans="1:12" ht="72" x14ac:dyDescent="0.3">
      <c r="A10" s="117"/>
      <c r="B10" s="27" t="s">
        <v>72</v>
      </c>
      <c r="C10" s="28" t="s">
        <v>73</v>
      </c>
      <c r="E10" s="111" t="s">
        <v>164</v>
      </c>
      <c r="F10" s="27" t="s">
        <v>128</v>
      </c>
      <c r="G10" s="27" t="s">
        <v>129</v>
      </c>
      <c r="H10" s="28" t="s">
        <v>165</v>
      </c>
      <c r="I10" s="78" t="s">
        <v>166</v>
      </c>
    </row>
    <row r="11" spans="1:12" ht="28.8" x14ac:dyDescent="0.3">
      <c r="A11" s="117"/>
      <c r="B11" s="27" t="s">
        <v>74</v>
      </c>
      <c r="C11" s="28" t="s">
        <v>75</v>
      </c>
      <c r="E11" s="111"/>
      <c r="F11" s="68" t="s">
        <v>167</v>
      </c>
      <c r="G11" s="68" t="s">
        <v>135</v>
      </c>
      <c r="H11" s="69" t="s">
        <v>136</v>
      </c>
      <c r="I11" s="78" t="s">
        <v>137</v>
      </c>
    </row>
    <row r="12" spans="1:12" ht="28.8" x14ac:dyDescent="0.3">
      <c r="A12" s="117"/>
      <c r="B12" s="27" t="s">
        <v>76</v>
      </c>
      <c r="C12" s="28" t="s">
        <v>77</v>
      </c>
      <c r="E12" s="111"/>
      <c r="F12" s="68" t="s">
        <v>168</v>
      </c>
      <c r="G12" s="68" t="s">
        <v>169</v>
      </c>
      <c r="H12" s="69" t="s">
        <v>170</v>
      </c>
      <c r="I12" s="78" t="s">
        <v>171</v>
      </c>
    </row>
    <row r="13" spans="1:12" x14ac:dyDescent="0.3">
      <c r="A13" s="116"/>
      <c r="B13" s="29" t="s">
        <v>78</v>
      </c>
      <c r="C13" s="30" t="s">
        <v>75</v>
      </c>
      <c r="E13" s="112"/>
      <c r="F13" s="89" t="s">
        <v>172</v>
      </c>
      <c r="G13" s="91" t="s">
        <v>173</v>
      </c>
      <c r="H13" s="90" t="s">
        <v>155</v>
      </c>
      <c r="I13" s="87"/>
    </row>
    <row r="14" spans="1:12" ht="72" x14ac:dyDescent="0.3">
      <c r="A14" s="115" t="s">
        <v>79</v>
      </c>
      <c r="B14" s="25" t="s">
        <v>55</v>
      </c>
      <c r="C14" s="26" t="s">
        <v>56</v>
      </c>
      <c r="E14" s="113"/>
      <c r="F14" s="70" t="s">
        <v>174</v>
      </c>
      <c r="G14" s="70" t="s">
        <v>175</v>
      </c>
      <c r="H14" s="71" t="s">
        <v>140</v>
      </c>
      <c r="I14" s="78" t="s">
        <v>176</v>
      </c>
    </row>
    <row r="15" spans="1:12" ht="43.2" x14ac:dyDescent="0.3">
      <c r="A15" s="117"/>
      <c r="B15" s="27" t="s">
        <v>80</v>
      </c>
      <c r="C15" s="28" t="s">
        <v>58</v>
      </c>
      <c r="E15" s="110"/>
      <c r="F15" s="25" t="s">
        <v>143</v>
      </c>
      <c r="G15" s="25" t="s">
        <v>177</v>
      </c>
      <c r="H15" s="26" t="s">
        <v>144</v>
      </c>
      <c r="I15" s="78" t="s">
        <v>178</v>
      </c>
    </row>
    <row r="16" spans="1:12" x14ac:dyDescent="0.3">
      <c r="A16" s="117"/>
      <c r="B16" s="27" t="s">
        <v>63</v>
      </c>
      <c r="C16" s="28" t="s">
        <v>64</v>
      </c>
      <c r="E16" s="112"/>
      <c r="F16" s="89" t="s">
        <v>179</v>
      </c>
      <c r="G16" s="91" t="s">
        <v>180</v>
      </c>
      <c r="H16" s="90" t="s">
        <v>155</v>
      </c>
      <c r="I16" s="87"/>
    </row>
    <row r="17" spans="1:9" ht="72" x14ac:dyDescent="0.3">
      <c r="A17" s="116"/>
      <c r="B17" s="29" t="s">
        <v>81</v>
      </c>
      <c r="C17" s="30" t="s">
        <v>82</v>
      </c>
      <c r="E17" s="111"/>
      <c r="F17" s="27" t="s">
        <v>181</v>
      </c>
      <c r="G17" s="27" t="s">
        <v>157</v>
      </c>
      <c r="H17" s="28" t="s">
        <v>158</v>
      </c>
      <c r="I17" s="78" t="s">
        <v>182</v>
      </c>
    </row>
    <row r="18" spans="1:9" ht="28.8" x14ac:dyDescent="0.3">
      <c r="A18" s="115" t="s">
        <v>83</v>
      </c>
      <c r="B18" s="25" t="s">
        <v>70</v>
      </c>
      <c r="C18" s="26" t="s">
        <v>84</v>
      </c>
      <c r="E18" s="111"/>
      <c r="F18" s="68" t="s">
        <v>183</v>
      </c>
      <c r="G18" s="68" t="s">
        <v>161</v>
      </c>
      <c r="H18" s="69" t="s">
        <v>162</v>
      </c>
      <c r="I18" s="78" t="s">
        <v>163</v>
      </c>
    </row>
    <row r="19" spans="1:9" ht="72" x14ac:dyDescent="0.3">
      <c r="A19" s="117"/>
      <c r="B19" s="27" t="s">
        <v>85</v>
      </c>
      <c r="C19" s="28" t="s">
        <v>86</v>
      </c>
      <c r="E19" s="111" t="s">
        <v>184</v>
      </c>
      <c r="F19" s="27" t="s">
        <v>128</v>
      </c>
      <c r="G19" s="27" t="s">
        <v>129</v>
      </c>
      <c r="H19" s="28" t="s">
        <v>130</v>
      </c>
      <c r="I19" s="78" t="s">
        <v>185</v>
      </c>
    </row>
    <row r="20" spans="1:9" ht="28.8" x14ac:dyDescent="0.3">
      <c r="A20" s="117"/>
      <c r="B20" s="27" t="s">
        <v>87</v>
      </c>
      <c r="C20" s="28" t="s">
        <v>82</v>
      </c>
      <c r="E20" s="113"/>
      <c r="F20" s="70" t="s">
        <v>134</v>
      </c>
      <c r="G20" s="70" t="s">
        <v>135</v>
      </c>
      <c r="H20" s="71" t="s">
        <v>136</v>
      </c>
      <c r="I20" s="78" t="s">
        <v>137</v>
      </c>
    </row>
    <row r="21" spans="1:9" ht="72" x14ac:dyDescent="0.3">
      <c r="A21" s="117"/>
      <c r="B21" s="27" t="s">
        <v>88</v>
      </c>
      <c r="C21" s="28" t="s">
        <v>82</v>
      </c>
      <c r="E21" s="110"/>
      <c r="F21" s="25" t="s">
        <v>139</v>
      </c>
      <c r="G21" s="25" t="s">
        <v>120</v>
      </c>
      <c r="H21" s="26" t="s">
        <v>186</v>
      </c>
      <c r="I21" s="78" t="s">
        <v>187</v>
      </c>
    </row>
    <row r="22" spans="1:9" ht="43.2" x14ac:dyDescent="0.3">
      <c r="A22" s="116"/>
      <c r="B22" s="29" t="s">
        <v>89</v>
      </c>
      <c r="C22" s="30" t="s">
        <v>68</v>
      </c>
      <c r="E22" s="111"/>
      <c r="F22" s="27" t="s">
        <v>143</v>
      </c>
      <c r="G22" s="27" t="s">
        <v>135</v>
      </c>
      <c r="H22" s="28" t="s">
        <v>144</v>
      </c>
      <c r="I22" s="78" t="s">
        <v>145</v>
      </c>
    </row>
    <row r="23" spans="1:9" ht="28.8" x14ac:dyDescent="0.3">
      <c r="A23" s="115" t="s">
        <v>90</v>
      </c>
      <c r="B23" s="25" t="s">
        <v>59</v>
      </c>
      <c r="C23" s="26" t="s">
        <v>60</v>
      </c>
      <c r="E23" s="111"/>
      <c r="F23" s="27" t="s">
        <v>148</v>
      </c>
      <c r="G23" s="27" t="s">
        <v>149</v>
      </c>
      <c r="H23" s="28" t="s">
        <v>150</v>
      </c>
      <c r="I23" s="78" t="s">
        <v>151</v>
      </c>
    </row>
    <row r="24" spans="1:9" x14ac:dyDescent="0.3">
      <c r="A24" s="116"/>
      <c r="B24" s="29" t="s">
        <v>91</v>
      </c>
      <c r="C24" s="30" t="s">
        <v>92</v>
      </c>
      <c r="E24" s="112"/>
      <c r="F24" s="89" t="s">
        <v>153</v>
      </c>
      <c r="G24" s="91" t="s">
        <v>154</v>
      </c>
      <c r="H24" s="90" t="s">
        <v>155</v>
      </c>
      <c r="I24" s="87"/>
    </row>
    <row r="25" spans="1:9" ht="72" x14ac:dyDescent="0.3">
      <c r="E25" s="111"/>
      <c r="F25" s="68" t="s">
        <v>156</v>
      </c>
      <c r="G25" s="68" t="s">
        <v>157</v>
      </c>
      <c r="H25" s="69" t="s">
        <v>188</v>
      </c>
      <c r="I25" s="78" t="s">
        <v>189</v>
      </c>
    </row>
    <row r="26" spans="1:9" ht="28.8" x14ac:dyDescent="0.3">
      <c r="E26" s="111"/>
      <c r="F26" s="27" t="s">
        <v>160</v>
      </c>
      <c r="G26" s="27" t="s">
        <v>161</v>
      </c>
      <c r="H26" s="28" t="s">
        <v>162</v>
      </c>
      <c r="I26" s="78" t="s">
        <v>163</v>
      </c>
    </row>
    <row r="27" spans="1:9" ht="72" x14ac:dyDescent="0.3">
      <c r="E27" s="113" t="s">
        <v>190</v>
      </c>
      <c r="F27" s="70" t="s">
        <v>128</v>
      </c>
      <c r="G27" s="70" t="s">
        <v>129</v>
      </c>
      <c r="H27" s="71" t="s">
        <v>130</v>
      </c>
      <c r="I27" s="78" t="s">
        <v>185</v>
      </c>
    </row>
    <row r="28" spans="1:9" ht="28.8" x14ac:dyDescent="0.3">
      <c r="E28" s="110"/>
      <c r="F28" s="25" t="s">
        <v>134</v>
      </c>
      <c r="G28" s="25" t="s">
        <v>135</v>
      </c>
      <c r="H28" s="26" t="s">
        <v>136</v>
      </c>
      <c r="I28" s="78" t="s">
        <v>137</v>
      </c>
    </row>
    <row r="29" spans="1:9" ht="72" x14ac:dyDescent="0.3">
      <c r="E29" s="111"/>
      <c r="F29" s="27" t="s">
        <v>139</v>
      </c>
      <c r="G29" s="27" t="s">
        <v>191</v>
      </c>
      <c r="H29" s="28" t="s">
        <v>140</v>
      </c>
      <c r="I29" s="78" t="s">
        <v>192</v>
      </c>
    </row>
    <row r="30" spans="1:9" ht="43.2" x14ac:dyDescent="0.3">
      <c r="E30" s="111"/>
      <c r="F30" s="27" t="s">
        <v>143</v>
      </c>
      <c r="G30" s="27" t="s">
        <v>193</v>
      </c>
      <c r="H30" s="28" t="s">
        <v>194</v>
      </c>
      <c r="I30" s="78" t="s">
        <v>195</v>
      </c>
    </row>
    <row r="31" spans="1:9" ht="43.2" x14ac:dyDescent="0.3">
      <c r="E31" s="111"/>
      <c r="F31" s="27" t="s">
        <v>196</v>
      </c>
      <c r="G31" s="27" t="s">
        <v>197</v>
      </c>
      <c r="H31" s="28" t="s">
        <v>198</v>
      </c>
      <c r="I31" s="78" t="s">
        <v>199</v>
      </c>
    </row>
    <row r="32" spans="1:9" ht="72" x14ac:dyDescent="0.3">
      <c r="E32" s="111"/>
      <c r="F32" s="68" t="s">
        <v>200</v>
      </c>
      <c r="G32" s="68" t="s">
        <v>201</v>
      </c>
      <c r="H32" s="69" t="s">
        <v>158</v>
      </c>
      <c r="I32" s="78" t="s">
        <v>182</v>
      </c>
    </row>
    <row r="33" spans="5:9" ht="28.8" x14ac:dyDescent="0.3">
      <c r="E33" s="111"/>
      <c r="F33" s="27" t="s">
        <v>160</v>
      </c>
      <c r="G33" s="27" t="s">
        <v>161</v>
      </c>
      <c r="H33" s="28" t="s">
        <v>202</v>
      </c>
      <c r="I33" s="78" t="s">
        <v>203</v>
      </c>
    </row>
    <row r="34" spans="5:9" ht="72" x14ac:dyDescent="0.3">
      <c r="E34" s="113" t="s">
        <v>204</v>
      </c>
      <c r="F34" s="70" t="s">
        <v>128</v>
      </c>
      <c r="G34" s="70" t="s">
        <v>129</v>
      </c>
      <c r="H34" s="71" t="s">
        <v>130</v>
      </c>
      <c r="I34" s="78" t="s">
        <v>185</v>
      </c>
    </row>
    <row r="35" spans="5:9" ht="28.8" x14ac:dyDescent="0.3">
      <c r="E35" s="110"/>
      <c r="F35" s="72" t="s">
        <v>134</v>
      </c>
      <c r="G35" s="72" t="s">
        <v>135</v>
      </c>
      <c r="H35" s="73" t="s">
        <v>136</v>
      </c>
      <c r="I35" s="78" t="s">
        <v>137</v>
      </c>
    </row>
    <row r="36" spans="5:9" ht="72" x14ac:dyDescent="0.3">
      <c r="E36" s="111"/>
      <c r="F36" s="27" t="s">
        <v>139</v>
      </c>
      <c r="G36" s="27" t="s">
        <v>191</v>
      </c>
      <c r="H36" s="28" t="s">
        <v>186</v>
      </c>
      <c r="I36" s="78" t="s">
        <v>205</v>
      </c>
    </row>
    <row r="37" spans="5:9" ht="43.2" x14ac:dyDescent="0.3">
      <c r="E37" s="111"/>
      <c r="F37" s="68" t="s">
        <v>206</v>
      </c>
      <c r="G37" s="68" t="s">
        <v>135</v>
      </c>
      <c r="H37" s="69" t="s">
        <v>144</v>
      </c>
      <c r="I37" s="78" t="s">
        <v>145</v>
      </c>
    </row>
    <row r="38" spans="5:9" ht="28.8" x14ac:dyDescent="0.3">
      <c r="E38" s="111"/>
      <c r="F38" s="27" t="s">
        <v>207</v>
      </c>
      <c r="G38" s="27" t="s">
        <v>149</v>
      </c>
      <c r="H38" s="28" t="s">
        <v>150</v>
      </c>
      <c r="I38" s="78" t="s">
        <v>151</v>
      </c>
    </row>
    <row r="39" spans="5:9" x14ac:dyDescent="0.3">
      <c r="E39" s="112"/>
      <c r="F39" s="89" t="s">
        <v>153</v>
      </c>
      <c r="G39" s="91" t="s">
        <v>154</v>
      </c>
      <c r="H39" s="90" t="s">
        <v>155</v>
      </c>
      <c r="I39" s="87"/>
    </row>
    <row r="40" spans="5:9" ht="72" x14ac:dyDescent="0.3">
      <c r="E40" s="113"/>
      <c r="F40" s="29" t="s">
        <v>156</v>
      </c>
      <c r="G40" s="29" t="s">
        <v>157</v>
      </c>
      <c r="H40" s="30" t="s">
        <v>188</v>
      </c>
      <c r="I40" s="78" t="s">
        <v>189</v>
      </c>
    </row>
    <row r="41" spans="5:9" ht="28.8" x14ac:dyDescent="0.3">
      <c r="E41" s="110"/>
      <c r="F41" s="25" t="s">
        <v>160</v>
      </c>
      <c r="G41" s="25" t="s">
        <v>161</v>
      </c>
      <c r="H41" s="26" t="s">
        <v>162</v>
      </c>
      <c r="I41" s="78" t="s">
        <v>163</v>
      </c>
    </row>
    <row r="42" spans="5:9" ht="28.8" x14ac:dyDescent="0.3">
      <c r="E42" s="111" t="s">
        <v>208</v>
      </c>
      <c r="F42" s="68" t="s">
        <v>209</v>
      </c>
      <c r="G42" s="68" t="s">
        <v>169</v>
      </c>
      <c r="H42" s="69" t="s">
        <v>150</v>
      </c>
      <c r="I42" s="78" t="s">
        <v>151</v>
      </c>
    </row>
    <row r="43" spans="5:9" x14ac:dyDescent="0.3">
      <c r="E43" s="112"/>
      <c r="F43" s="89" t="s">
        <v>210</v>
      </c>
      <c r="G43" s="91" t="s">
        <v>173</v>
      </c>
      <c r="H43" s="90" t="s">
        <v>155</v>
      </c>
      <c r="I43" s="87"/>
    </row>
    <row r="44" spans="5:9" ht="86.4" x14ac:dyDescent="0.3">
      <c r="E44" s="111"/>
      <c r="F44" s="68" t="s">
        <v>211</v>
      </c>
      <c r="G44" s="68" t="s">
        <v>212</v>
      </c>
      <c r="H44" s="69" t="s">
        <v>213</v>
      </c>
      <c r="I44" s="78" t="s">
        <v>214</v>
      </c>
    </row>
    <row r="45" spans="5:9" ht="72" x14ac:dyDescent="0.3">
      <c r="E45" s="111"/>
      <c r="F45" s="27" t="s">
        <v>139</v>
      </c>
      <c r="G45" s="27" t="s">
        <v>120</v>
      </c>
      <c r="H45" s="28" t="s">
        <v>140</v>
      </c>
      <c r="I45" s="78" t="s">
        <v>215</v>
      </c>
    </row>
    <row r="46" spans="5:9" ht="57.6" x14ac:dyDescent="0.3">
      <c r="E46" s="113"/>
      <c r="F46" s="29" t="s">
        <v>143</v>
      </c>
      <c r="G46" s="29" t="s">
        <v>135</v>
      </c>
      <c r="H46" s="30" t="s">
        <v>216</v>
      </c>
      <c r="I46" s="78" t="s">
        <v>217</v>
      </c>
    </row>
    <row r="47" spans="5:9" ht="72" x14ac:dyDescent="0.3">
      <c r="E47" s="81"/>
      <c r="F47" s="83" t="s">
        <v>218</v>
      </c>
      <c r="G47" s="2" t="s">
        <v>201</v>
      </c>
      <c r="H47" s="2" t="s">
        <v>158</v>
      </c>
      <c r="I47" s="78" t="s">
        <v>182</v>
      </c>
    </row>
    <row r="48" spans="5:9" ht="28.8" x14ac:dyDescent="0.3">
      <c r="E48" s="81"/>
      <c r="F48" s="83" t="s">
        <v>160</v>
      </c>
      <c r="G48" s="2" t="s">
        <v>161</v>
      </c>
      <c r="H48" s="2" t="s">
        <v>162</v>
      </c>
      <c r="I48" s="78" t="s">
        <v>163</v>
      </c>
    </row>
    <row r="49" spans="5:9" ht="72" x14ac:dyDescent="0.3">
      <c r="E49" s="81" t="s">
        <v>219</v>
      </c>
      <c r="F49" s="83" t="s">
        <v>220</v>
      </c>
      <c r="G49" s="2" t="s">
        <v>129</v>
      </c>
      <c r="H49" s="2" t="s">
        <v>130</v>
      </c>
      <c r="I49" s="78" t="s">
        <v>185</v>
      </c>
    </row>
    <row r="50" spans="5:9" ht="28.8" x14ac:dyDescent="0.3">
      <c r="E50" s="81"/>
      <c r="F50" s="83" t="s">
        <v>221</v>
      </c>
      <c r="G50" s="2" t="s">
        <v>169</v>
      </c>
      <c r="H50" s="2" t="s">
        <v>222</v>
      </c>
      <c r="I50" s="78" t="s">
        <v>223</v>
      </c>
    </row>
    <row r="51" spans="5:9" x14ac:dyDescent="0.3">
      <c r="E51" s="92"/>
      <c r="F51" s="93" t="s">
        <v>224</v>
      </c>
      <c r="G51" s="95" t="s">
        <v>173</v>
      </c>
      <c r="H51" s="94" t="s">
        <v>155</v>
      </c>
      <c r="I51" s="87"/>
    </row>
    <row r="52" spans="5:9" ht="86.4" x14ac:dyDescent="0.3">
      <c r="E52" s="81"/>
      <c r="F52" s="83" t="s">
        <v>225</v>
      </c>
      <c r="G52" s="2" t="s">
        <v>175</v>
      </c>
      <c r="H52" s="2" t="s">
        <v>226</v>
      </c>
      <c r="I52" s="78" t="s">
        <v>227</v>
      </c>
    </row>
    <row r="53" spans="5:9" ht="43.2" x14ac:dyDescent="0.3">
      <c r="E53" s="81"/>
      <c r="F53" s="83" t="s">
        <v>143</v>
      </c>
      <c r="G53" s="2" t="s">
        <v>135</v>
      </c>
      <c r="H53" s="2" t="s">
        <v>228</v>
      </c>
      <c r="I53" s="78" t="s">
        <v>229</v>
      </c>
    </row>
    <row r="54" spans="5:9" ht="57.6" x14ac:dyDescent="0.3">
      <c r="E54" s="81"/>
      <c r="F54" s="83" t="s">
        <v>218</v>
      </c>
      <c r="G54" s="2" t="s">
        <v>201</v>
      </c>
      <c r="H54" s="2" t="s">
        <v>230</v>
      </c>
      <c r="I54" s="78" t="s">
        <v>231</v>
      </c>
    </row>
    <row r="55" spans="5:9" ht="28.8" x14ac:dyDescent="0.3">
      <c r="E55" s="82"/>
      <c r="F55" s="84" t="s">
        <v>183</v>
      </c>
      <c r="G55" s="79" t="s">
        <v>161</v>
      </c>
      <c r="H55" s="79" t="s">
        <v>162</v>
      </c>
      <c r="I55" s="80" t="s">
        <v>163</v>
      </c>
    </row>
  </sheetData>
  <mergeCells count="14">
    <mergeCell ref="K1:L1"/>
    <mergeCell ref="A23:A24"/>
    <mergeCell ref="A2:A6"/>
    <mergeCell ref="A7:A8"/>
    <mergeCell ref="A9:A13"/>
    <mergeCell ref="A14:A17"/>
    <mergeCell ref="A18:A22"/>
    <mergeCell ref="E35:E40"/>
    <mergeCell ref="E41:E46"/>
    <mergeCell ref="E2:E7"/>
    <mergeCell ref="E8:E14"/>
    <mergeCell ref="E15:E20"/>
    <mergeCell ref="E21:E27"/>
    <mergeCell ref="E28:E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9"/>
  <sheetViews>
    <sheetView workbookViewId="0"/>
  </sheetViews>
  <sheetFormatPr defaultRowHeight="14.4" x14ac:dyDescent="0.3"/>
  <cols>
    <col min="1" max="1" width="11.21875" style="52" customWidth="1"/>
    <col min="2" max="4" width="24.44140625" style="52" customWidth="1"/>
    <col min="6" max="6" width="11.21875" style="24" customWidth="1"/>
    <col min="7" max="7" width="24.44140625" style="24" customWidth="1"/>
    <col min="8" max="8" width="17.5546875" style="24" customWidth="1"/>
    <col min="9" max="9" width="24.44140625" style="24" customWidth="1"/>
    <col min="10" max="11" width="16.5546875" customWidth="1"/>
    <col min="13" max="13" width="15.33203125" customWidth="1"/>
  </cols>
  <sheetData>
    <row r="1" spans="1:13" x14ac:dyDescent="0.3">
      <c r="A1" s="121" t="s">
        <v>93</v>
      </c>
      <c r="B1" s="121"/>
      <c r="C1" s="121"/>
      <c r="D1" s="121"/>
      <c r="F1" s="122" t="s">
        <v>94</v>
      </c>
      <c r="G1" s="122"/>
      <c r="H1" s="122"/>
      <c r="I1" s="122"/>
      <c r="J1" s="52"/>
      <c r="K1" s="52"/>
      <c r="L1" s="52"/>
    </row>
    <row r="3" spans="1:13" x14ac:dyDescent="0.3">
      <c r="A3" s="34"/>
      <c r="B3" s="35" t="s">
        <v>95</v>
      </c>
      <c r="C3" s="35" t="s">
        <v>95</v>
      </c>
      <c r="D3" s="36" t="s">
        <v>95</v>
      </c>
      <c r="F3" s="34"/>
      <c r="G3" s="35" t="s">
        <v>95</v>
      </c>
      <c r="H3" s="35" t="s">
        <v>95</v>
      </c>
      <c r="I3" s="36" t="s">
        <v>95</v>
      </c>
      <c r="M3" s="51" t="s">
        <v>96</v>
      </c>
    </row>
    <row r="4" spans="1:13" x14ac:dyDescent="0.3">
      <c r="A4" s="37" t="s">
        <v>97</v>
      </c>
      <c r="B4" s="39" t="s">
        <v>98</v>
      </c>
      <c r="C4" s="39" t="s">
        <v>99</v>
      </c>
      <c r="D4" s="38" t="s">
        <v>100</v>
      </c>
      <c r="F4" s="37" t="s">
        <v>97</v>
      </c>
      <c r="G4" s="39" t="s">
        <v>98</v>
      </c>
      <c r="H4" s="39" t="s">
        <v>99</v>
      </c>
      <c r="I4" s="38" t="s">
        <v>100</v>
      </c>
      <c r="M4" s="50" t="s">
        <v>101</v>
      </c>
    </row>
    <row r="5" spans="1:13" x14ac:dyDescent="0.3">
      <c r="A5" s="40">
        <v>0.22916666666666666</v>
      </c>
      <c r="B5" s="34" t="s">
        <v>102</v>
      </c>
      <c r="C5" s="61" t="s">
        <v>102</v>
      </c>
      <c r="D5" s="62" t="s">
        <v>102</v>
      </c>
      <c r="F5" s="40">
        <v>0.22916666666666666</v>
      </c>
      <c r="G5" s="41" t="s">
        <v>102</v>
      </c>
      <c r="H5" s="41" t="s">
        <v>102</v>
      </c>
      <c r="I5" s="42" t="s">
        <v>102</v>
      </c>
      <c r="M5" s="58" t="s">
        <v>103</v>
      </c>
    </row>
    <row r="6" spans="1:13" x14ac:dyDescent="0.3">
      <c r="A6" s="44">
        <v>0.27083333333333331</v>
      </c>
      <c r="B6" s="45" t="s">
        <v>104</v>
      </c>
      <c r="C6" s="41" t="s">
        <v>104</v>
      </c>
      <c r="D6" s="42" t="s">
        <v>104</v>
      </c>
      <c r="F6" s="44">
        <v>0.27083333333333331</v>
      </c>
      <c r="G6" s="41" t="s">
        <v>104</v>
      </c>
      <c r="H6" s="41" t="s">
        <v>104</v>
      </c>
      <c r="I6" s="42" t="s">
        <v>104</v>
      </c>
      <c r="M6" s="59" t="s">
        <v>105</v>
      </c>
    </row>
    <row r="7" spans="1:13" x14ac:dyDescent="0.3">
      <c r="A7" s="44">
        <v>0.33333333333333331</v>
      </c>
      <c r="B7" s="45" t="s">
        <v>106</v>
      </c>
      <c r="C7" s="41" t="s">
        <v>106</v>
      </c>
      <c r="D7" s="42" t="s">
        <v>106</v>
      </c>
      <c r="F7" s="44">
        <v>0.33333333333333331</v>
      </c>
      <c r="G7" s="41" t="s">
        <v>106</v>
      </c>
      <c r="H7" s="41" t="s">
        <v>106</v>
      </c>
      <c r="I7" s="42" t="s">
        <v>106</v>
      </c>
    </row>
    <row r="8" spans="1:13" x14ac:dyDescent="0.3">
      <c r="A8" s="44">
        <v>0.375</v>
      </c>
      <c r="B8" s="45" t="s">
        <v>107</v>
      </c>
      <c r="C8" s="41" t="s">
        <v>107</v>
      </c>
      <c r="D8" s="42" t="s">
        <v>107</v>
      </c>
      <c r="F8" s="44">
        <v>0.375</v>
      </c>
      <c r="G8" s="57" t="s">
        <v>107</v>
      </c>
      <c r="H8" s="41" t="s">
        <v>107</v>
      </c>
      <c r="I8" s="42" t="s">
        <v>107</v>
      </c>
    </row>
    <row r="9" spans="1:13" x14ac:dyDescent="0.3">
      <c r="A9" s="44">
        <v>0.54166666666666663</v>
      </c>
      <c r="B9" s="63" t="s">
        <v>108</v>
      </c>
      <c r="C9" s="57" t="s">
        <v>108</v>
      </c>
      <c r="D9" s="60" t="s">
        <v>108</v>
      </c>
      <c r="F9" s="44">
        <v>0.54166666666666663</v>
      </c>
      <c r="G9" s="57" t="s">
        <v>108</v>
      </c>
      <c r="H9" s="57" t="s">
        <v>109</v>
      </c>
      <c r="I9" s="60" t="s">
        <v>108</v>
      </c>
    </row>
    <row r="10" spans="1:13" x14ac:dyDescent="0.3">
      <c r="A10" s="44">
        <v>0.58333333333333337</v>
      </c>
      <c r="B10" s="63" t="s">
        <v>107</v>
      </c>
      <c r="C10" s="57" t="s">
        <v>107</v>
      </c>
      <c r="D10" s="42" t="s">
        <v>107</v>
      </c>
      <c r="F10" s="44">
        <v>0.58333333333333337</v>
      </c>
      <c r="G10" s="57" t="s">
        <v>107</v>
      </c>
      <c r="H10" s="57" t="s">
        <v>107</v>
      </c>
      <c r="I10" s="42" t="s">
        <v>107</v>
      </c>
    </row>
    <row r="11" spans="1:13" x14ac:dyDescent="0.3">
      <c r="A11" s="44">
        <v>0.79166666666666663</v>
      </c>
      <c r="B11" s="64" t="s">
        <v>110</v>
      </c>
      <c r="C11" s="57" t="s">
        <v>110</v>
      </c>
      <c r="D11" s="47" t="s">
        <v>110</v>
      </c>
      <c r="F11" s="44">
        <v>0.75</v>
      </c>
      <c r="G11" s="57" t="s">
        <v>110</v>
      </c>
      <c r="H11" s="57" t="s">
        <v>103</v>
      </c>
      <c r="I11" s="42" t="s">
        <v>110</v>
      </c>
    </row>
    <row r="12" spans="1:13" x14ac:dyDescent="0.3">
      <c r="A12" s="44">
        <v>0.83333333333333337</v>
      </c>
      <c r="B12" s="64" t="s">
        <v>111</v>
      </c>
      <c r="C12" s="57" t="s">
        <v>111</v>
      </c>
      <c r="D12" s="47" t="s">
        <v>111</v>
      </c>
      <c r="F12" s="44">
        <v>0.79166666666666663</v>
      </c>
      <c r="G12" s="24" t="s">
        <v>101</v>
      </c>
      <c r="H12" s="57" t="s">
        <v>111</v>
      </c>
      <c r="I12" s="47" t="s">
        <v>101</v>
      </c>
    </row>
    <row r="13" spans="1:13" x14ac:dyDescent="0.3">
      <c r="A13" s="44">
        <v>0.875</v>
      </c>
      <c r="B13" s="64" t="s">
        <v>112</v>
      </c>
      <c r="C13" s="24" t="s">
        <v>112</v>
      </c>
      <c r="D13" s="47" t="s">
        <v>112</v>
      </c>
      <c r="F13" s="48">
        <v>0.91666666666666663</v>
      </c>
      <c r="G13" s="24" t="s">
        <v>113</v>
      </c>
      <c r="H13" s="49" t="s">
        <v>112</v>
      </c>
      <c r="I13" s="47" t="s">
        <v>113</v>
      </c>
    </row>
    <row r="14" spans="1:13" x14ac:dyDescent="0.3">
      <c r="A14" s="48">
        <v>0.9375</v>
      </c>
      <c r="B14" s="65" t="s">
        <v>113</v>
      </c>
      <c r="C14" s="49" t="s">
        <v>113</v>
      </c>
      <c r="D14" s="46" t="s">
        <v>113</v>
      </c>
      <c r="F14" s="40" t="s">
        <v>114</v>
      </c>
      <c r="G14" s="67" t="s">
        <v>115</v>
      </c>
      <c r="H14" s="66" t="s">
        <v>115</v>
      </c>
      <c r="I14" s="43" t="s">
        <v>115</v>
      </c>
    </row>
    <row r="15" spans="1:13" x14ac:dyDescent="0.3">
      <c r="A15" s="119" t="s">
        <v>114</v>
      </c>
      <c r="B15" s="53" t="s">
        <v>115</v>
      </c>
      <c r="C15" s="53" t="s">
        <v>115</v>
      </c>
      <c r="D15" s="54" t="s">
        <v>115</v>
      </c>
      <c r="F15" s="48"/>
      <c r="G15" s="65" t="s">
        <v>116</v>
      </c>
      <c r="H15" s="49" t="s">
        <v>116</v>
      </c>
      <c r="I15" s="46" t="s">
        <v>116</v>
      </c>
    </row>
    <row r="16" spans="1:13" x14ac:dyDescent="0.3">
      <c r="A16" s="120"/>
      <c r="B16" s="55" t="s">
        <v>116</v>
      </c>
      <c r="C16" s="55" t="s">
        <v>116</v>
      </c>
      <c r="D16" s="56" t="s">
        <v>116</v>
      </c>
    </row>
    <row r="18" spans="1:8" x14ac:dyDescent="0.3">
      <c r="A18" s="34"/>
      <c r="B18" s="35" t="s">
        <v>117</v>
      </c>
      <c r="C18" s="36" t="s">
        <v>117</v>
      </c>
      <c r="F18" s="34"/>
      <c r="G18" s="35" t="s">
        <v>117</v>
      </c>
      <c r="H18" s="36" t="s">
        <v>117</v>
      </c>
    </row>
    <row r="19" spans="1:8" x14ac:dyDescent="0.3">
      <c r="A19" s="37" t="s">
        <v>97</v>
      </c>
      <c r="B19" s="39" t="s">
        <v>118</v>
      </c>
      <c r="C19" s="38" t="s">
        <v>119</v>
      </c>
      <c r="F19" s="37" t="s">
        <v>97</v>
      </c>
      <c r="G19" s="39" t="s">
        <v>118</v>
      </c>
      <c r="H19" s="38" t="s">
        <v>119</v>
      </c>
    </row>
    <row r="20" spans="1:8" x14ac:dyDescent="0.3">
      <c r="A20" s="40">
        <v>0.22916666666666666</v>
      </c>
      <c r="B20" s="41" t="s">
        <v>102</v>
      </c>
      <c r="C20" s="42" t="s">
        <v>102</v>
      </c>
      <c r="F20" s="40">
        <v>0.22916666666666666</v>
      </c>
      <c r="G20" s="41" t="s">
        <v>102</v>
      </c>
      <c r="H20" s="42" t="s">
        <v>102</v>
      </c>
    </row>
    <row r="21" spans="1:8" x14ac:dyDescent="0.3">
      <c r="A21" s="44">
        <v>0.27083333333333331</v>
      </c>
      <c r="B21" s="41" t="s">
        <v>106</v>
      </c>
      <c r="C21" s="42" t="s">
        <v>106</v>
      </c>
      <c r="F21" s="44">
        <v>0.27083333333333331</v>
      </c>
      <c r="G21" s="41" t="s">
        <v>106</v>
      </c>
      <c r="H21" s="42" t="s">
        <v>106</v>
      </c>
    </row>
    <row r="22" spans="1:8" x14ac:dyDescent="0.3">
      <c r="A22" s="44">
        <v>0.375</v>
      </c>
      <c r="B22" s="41" t="s">
        <v>107</v>
      </c>
      <c r="C22" s="42" t="s">
        <v>107</v>
      </c>
      <c r="F22" s="44">
        <v>0.375</v>
      </c>
      <c r="G22" s="41" t="s">
        <v>107</v>
      </c>
      <c r="H22" s="42" t="s">
        <v>107</v>
      </c>
    </row>
    <row r="23" spans="1:8" x14ac:dyDescent="0.3">
      <c r="A23" s="44">
        <v>0.54166666666666663</v>
      </c>
      <c r="B23" s="57" t="s">
        <v>120</v>
      </c>
      <c r="C23" s="60" t="s">
        <v>120</v>
      </c>
      <c r="F23" s="44">
        <v>0.54166666666666663</v>
      </c>
      <c r="G23" s="57" t="s">
        <v>120</v>
      </c>
      <c r="H23" s="60" t="s">
        <v>120</v>
      </c>
    </row>
    <row r="24" spans="1:8" x14ac:dyDescent="0.3">
      <c r="A24" s="44">
        <v>0.58333333333333337</v>
      </c>
      <c r="B24" s="41" t="s">
        <v>107</v>
      </c>
      <c r="C24" s="42" t="s">
        <v>107</v>
      </c>
      <c r="F24" s="44">
        <v>0.58333333333333337</v>
      </c>
      <c r="G24" s="41" t="s">
        <v>107</v>
      </c>
      <c r="H24" s="42" t="s">
        <v>107</v>
      </c>
    </row>
    <row r="25" spans="1:8" x14ac:dyDescent="0.3">
      <c r="A25" s="44">
        <v>0.79166666666666663</v>
      </c>
      <c r="B25" s="24" t="s">
        <v>121</v>
      </c>
      <c r="C25" s="47" t="s">
        <v>111</v>
      </c>
      <c r="F25" s="44">
        <v>0.79166666666666663</v>
      </c>
      <c r="G25" s="24" t="s">
        <v>121</v>
      </c>
      <c r="H25" s="47" t="s">
        <v>101</v>
      </c>
    </row>
    <row r="26" spans="1:8" x14ac:dyDescent="0.3">
      <c r="A26" s="48">
        <v>0.9375</v>
      </c>
      <c r="B26" s="24" t="s">
        <v>113</v>
      </c>
      <c r="C26" s="47" t="s">
        <v>113</v>
      </c>
      <c r="D26" s="24"/>
      <c r="F26" s="48">
        <v>0.9375</v>
      </c>
      <c r="G26" s="24" t="s">
        <v>112</v>
      </c>
      <c r="H26" s="47" t="s">
        <v>113</v>
      </c>
    </row>
    <row r="27" spans="1:8" x14ac:dyDescent="0.3">
      <c r="A27" s="119" t="s">
        <v>114</v>
      </c>
      <c r="B27" s="53" t="s">
        <v>115</v>
      </c>
      <c r="C27" s="54" t="s">
        <v>115</v>
      </c>
      <c r="D27"/>
      <c r="F27" s="119" t="s">
        <v>114</v>
      </c>
      <c r="G27" s="66" t="s">
        <v>115</v>
      </c>
      <c r="H27" s="43" t="s">
        <v>115</v>
      </c>
    </row>
    <row r="28" spans="1:8" x14ac:dyDescent="0.3">
      <c r="A28" s="120"/>
      <c r="B28" s="55" t="s">
        <v>116</v>
      </c>
      <c r="C28" s="56" t="s">
        <v>116</v>
      </c>
      <c r="D28"/>
      <c r="F28" s="120"/>
      <c r="G28" s="49" t="s">
        <v>116</v>
      </c>
      <c r="H28" s="46" t="s">
        <v>116</v>
      </c>
    </row>
    <row r="29" spans="1:8" x14ac:dyDescent="0.3">
      <c r="A29"/>
      <c r="B29"/>
      <c r="C29"/>
      <c r="D29"/>
    </row>
  </sheetData>
  <mergeCells count="5">
    <mergeCell ref="A27:A28"/>
    <mergeCell ref="A15:A16"/>
    <mergeCell ref="A1:D1"/>
    <mergeCell ref="F1:I1"/>
    <mergeCell ref="F27:F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1" customWidth="1"/>
    <col min="2" max="2" width="16" customWidth="1"/>
    <col min="3" max="3" width="22" customWidth="1"/>
    <col min="4" max="4" width="39" customWidth="1"/>
    <col min="5" max="5" width="47" customWidth="1"/>
  </cols>
  <sheetData>
    <row r="1" spans="1:5" x14ac:dyDescent="0.3">
      <c r="A1" s="96" t="s">
        <v>122</v>
      </c>
      <c r="B1" s="97" t="s">
        <v>123</v>
      </c>
      <c r="C1" s="97" t="s">
        <v>51</v>
      </c>
      <c r="D1" s="97" t="s">
        <v>124</v>
      </c>
      <c r="E1" s="98" t="s">
        <v>125</v>
      </c>
    </row>
    <row r="2" spans="1:5" ht="72" x14ac:dyDescent="0.3">
      <c r="A2" s="102" t="s">
        <v>127</v>
      </c>
      <c r="B2" s="83" t="s">
        <v>128</v>
      </c>
      <c r="C2" s="2" t="s">
        <v>129</v>
      </c>
      <c r="D2" s="2" t="s">
        <v>130</v>
      </c>
      <c r="E2" s="99" t="s">
        <v>185</v>
      </c>
    </row>
    <row r="3" spans="1:5" ht="28.8" x14ac:dyDescent="0.3">
      <c r="A3" s="102"/>
      <c r="B3" s="83" t="s">
        <v>134</v>
      </c>
      <c r="C3" s="2" t="s">
        <v>135</v>
      </c>
      <c r="D3" s="2" t="s">
        <v>136</v>
      </c>
      <c r="E3" s="99" t="s">
        <v>137</v>
      </c>
    </row>
    <row r="4" spans="1:5" ht="72" x14ac:dyDescent="0.3">
      <c r="A4" s="102"/>
      <c r="B4" s="83" t="s">
        <v>139</v>
      </c>
      <c r="C4" s="2" t="s">
        <v>120</v>
      </c>
      <c r="D4" s="2" t="s">
        <v>140</v>
      </c>
      <c r="E4" s="99" t="s">
        <v>215</v>
      </c>
    </row>
    <row r="5" spans="1:5" ht="43.2" x14ac:dyDescent="0.3">
      <c r="A5" s="102"/>
      <c r="B5" s="83" t="s">
        <v>143</v>
      </c>
      <c r="C5" s="2" t="s">
        <v>135</v>
      </c>
      <c r="D5" s="2" t="s">
        <v>194</v>
      </c>
      <c r="E5" s="99" t="s">
        <v>195</v>
      </c>
    </row>
    <row r="6" spans="1:5" ht="72" x14ac:dyDescent="0.3">
      <c r="A6" s="102"/>
      <c r="B6" s="83" t="s">
        <v>232</v>
      </c>
      <c r="C6" s="2" t="s">
        <v>201</v>
      </c>
      <c r="D6" s="2" t="s">
        <v>158</v>
      </c>
      <c r="E6" s="99" t="s">
        <v>182</v>
      </c>
    </row>
    <row r="7" spans="1:5" ht="43.2" x14ac:dyDescent="0.3">
      <c r="A7" s="102"/>
      <c r="B7" s="83" t="s">
        <v>183</v>
      </c>
      <c r="C7" s="2" t="s">
        <v>161</v>
      </c>
      <c r="D7" s="2" t="s">
        <v>233</v>
      </c>
      <c r="E7" s="99" t="s">
        <v>234</v>
      </c>
    </row>
    <row r="8" spans="1:5" ht="72" x14ac:dyDescent="0.3">
      <c r="A8" s="102" t="s">
        <v>164</v>
      </c>
      <c r="B8" s="83" t="s">
        <v>128</v>
      </c>
      <c r="C8" s="2" t="s">
        <v>129</v>
      </c>
      <c r="D8" s="2" t="s">
        <v>165</v>
      </c>
      <c r="E8" s="99" t="s">
        <v>166</v>
      </c>
    </row>
    <row r="9" spans="1:5" ht="28.8" x14ac:dyDescent="0.3">
      <c r="A9" s="102"/>
      <c r="B9" s="83" t="s">
        <v>134</v>
      </c>
      <c r="C9" s="2" t="s">
        <v>135</v>
      </c>
      <c r="D9" s="2" t="s">
        <v>136</v>
      </c>
      <c r="E9" s="99" t="s">
        <v>137</v>
      </c>
    </row>
    <row r="10" spans="1:5" ht="72" x14ac:dyDescent="0.3">
      <c r="A10" s="102"/>
      <c r="B10" s="83" t="s">
        <v>139</v>
      </c>
      <c r="C10" s="2" t="s">
        <v>120</v>
      </c>
      <c r="D10" s="2" t="s">
        <v>140</v>
      </c>
      <c r="E10" s="99" t="s">
        <v>215</v>
      </c>
    </row>
    <row r="11" spans="1:5" ht="43.2" x14ac:dyDescent="0.3">
      <c r="A11" s="102"/>
      <c r="B11" s="83" t="s">
        <v>143</v>
      </c>
      <c r="C11" s="2" t="s">
        <v>135</v>
      </c>
      <c r="D11" s="2" t="s">
        <v>144</v>
      </c>
      <c r="E11" s="99" t="s">
        <v>145</v>
      </c>
    </row>
    <row r="12" spans="1:5" ht="72" x14ac:dyDescent="0.3">
      <c r="A12" s="102"/>
      <c r="B12" s="83" t="s">
        <v>232</v>
      </c>
      <c r="C12" s="2" t="s">
        <v>201</v>
      </c>
      <c r="D12" s="2" t="s">
        <v>158</v>
      </c>
      <c r="E12" s="99" t="s">
        <v>182</v>
      </c>
    </row>
    <row r="13" spans="1:5" ht="43.2" x14ac:dyDescent="0.3">
      <c r="A13" s="102"/>
      <c r="B13" s="83" t="s">
        <v>183</v>
      </c>
      <c r="C13" s="2" t="s">
        <v>161</v>
      </c>
      <c r="D13" s="2" t="s">
        <v>233</v>
      </c>
      <c r="E13" s="99" t="s">
        <v>234</v>
      </c>
    </row>
    <row r="14" spans="1:5" ht="72" x14ac:dyDescent="0.3">
      <c r="A14" s="102" t="s">
        <v>184</v>
      </c>
      <c r="B14" s="83" t="s">
        <v>128</v>
      </c>
      <c r="C14" s="2" t="s">
        <v>129</v>
      </c>
      <c r="D14" s="2" t="s">
        <v>130</v>
      </c>
      <c r="E14" s="99" t="s">
        <v>185</v>
      </c>
    </row>
    <row r="15" spans="1:5" ht="28.8" x14ac:dyDescent="0.3">
      <c r="A15" s="102"/>
      <c r="B15" s="83" t="s">
        <v>134</v>
      </c>
      <c r="C15" s="2" t="s">
        <v>135</v>
      </c>
      <c r="D15" s="2" t="s">
        <v>136</v>
      </c>
      <c r="E15" s="99" t="s">
        <v>137</v>
      </c>
    </row>
    <row r="16" spans="1:5" ht="72" x14ac:dyDescent="0.3">
      <c r="A16" s="102"/>
      <c r="B16" s="83" t="s">
        <v>139</v>
      </c>
      <c r="C16" s="2" t="s">
        <v>120</v>
      </c>
      <c r="D16" s="2" t="s">
        <v>186</v>
      </c>
      <c r="E16" s="99" t="s">
        <v>187</v>
      </c>
    </row>
    <row r="17" spans="1:5" ht="43.2" x14ac:dyDescent="0.3">
      <c r="A17" s="102"/>
      <c r="B17" s="83" t="s">
        <v>143</v>
      </c>
      <c r="C17" s="2" t="s">
        <v>135</v>
      </c>
      <c r="D17" s="2" t="s">
        <v>235</v>
      </c>
      <c r="E17" s="99" t="s">
        <v>195</v>
      </c>
    </row>
    <row r="18" spans="1:5" ht="72" x14ac:dyDescent="0.3">
      <c r="A18" s="102"/>
      <c r="B18" s="83" t="s">
        <v>232</v>
      </c>
      <c r="C18" s="2" t="s">
        <v>201</v>
      </c>
      <c r="D18" s="2" t="s">
        <v>188</v>
      </c>
      <c r="E18" s="99" t="s">
        <v>189</v>
      </c>
    </row>
    <row r="19" spans="1:5" ht="43.2" x14ac:dyDescent="0.3">
      <c r="A19" s="102"/>
      <c r="B19" s="83" t="s">
        <v>183</v>
      </c>
      <c r="C19" s="2" t="s">
        <v>161</v>
      </c>
      <c r="D19" s="2" t="s">
        <v>233</v>
      </c>
      <c r="E19" s="99" t="s">
        <v>234</v>
      </c>
    </row>
    <row r="20" spans="1:5" ht="72" x14ac:dyDescent="0.3">
      <c r="A20" s="102" t="s">
        <v>190</v>
      </c>
      <c r="B20" s="83" t="s">
        <v>128</v>
      </c>
      <c r="C20" s="2" t="s">
        <v>129</v>
      </c>
      <c r="D20" s="2" t="s">
        <v>130</v>
      </c>
      <c r="E20" s="99" t="s">
        <v>185</v>
      </c>
    </row>
    <row r="21" spans="1:5" ht="28.8" x14ac:dyDescent="0.3">
      <c r="A21" s="102"/>
      <c r="B21" s="83" t="s">
        <v>134</v>
      </c>
      <c r="C21" s="2" t="s">
        <v>135</v>
      </c>
      <c r="D21" s="2" t="s">
        <v>136</v>
      </c>
      <c r="E21" s="99" t="s">
        <v>137</v>
      </c>
    </row>
    <row r="22" spans="1:5" ht="72" x14ac:dyDescent="0.3">
      <c r="A22" s="102"/>
      <c r="B22" s="83" t="s">
        <v>139</v>
      </c>
      <c r="C22" s="2" t="s">
        <v>191</v>
      </c>
      <c r="D22" s="2" t="s">
        <v>140</v>
      </c>
      <c r="E22" s="99" t="s">
        <v>192</v>
      </c>
    </row>
    <row r="23" spans="1:5" ht="43.2" x14ac:dyDescent="0.3">
      <c r="A23" s="102"/>
      <c r="B23" s="83" t="s">
        <v>143</v>
      </c>
      <c r="C23" s="2" t="s">
        <v>135</v>
      </c>
      <c r="D23" s="2" t="s">
        <v>194</v>
      </c>
      <c r="E23" s="99" t="s">
        <v>195</v>
      </c>
    </row>
    <row r="24" spans="1:5" ht="43.2" x14ac:dyDescent="0.3">
      <c r="A24" s="102"/>
      <c r="B24" s="83" t="s">
        <v>196</v>
      </c>
      <c r="C24" s="2" t="s">
        <v>236</v>
      </c>
      <c r="D24" s="2" t="s">
        <v>198</v>
      </c>
      <c r="E24" s="99" t="s">
        <v>199</v>
      </c>
    </row>
    <row r="25" spans="1:5" ht="57.6" x14ac:dyDescent="0.3">
      <c r="A25" s="102"/>
      <c r="B25" s="83" t="s">
        <v>200</v>
      </c>
      <c r="C25" s="2" t="s">
        <v>201</v>
      </c>
      <c r="D25" s="2" t="s">
        <v>237</v>
      </c>
      <c r="E25" s="99" t="s">
        <v>238</v>
      </c>
    </row>
    <row r="26" spans="1:5" ht="72" x14ac:dyDescent="0.3">
      <c r="A26" s="102" t="s">
        <v>204</v>
      </c>
      <c r="B26" s="83" t="s">
        <v>128</v>
      </c>
      <c r="C26" s="2" t="s">
        <v>129</v>
      </c>
      <c r="D26" s="2" t="s">
        <v>130</v>
      </c>
      <c r="E26" s="99" t="s">
        <v>185</v>
      </c>
    </row>
    <row r="27" spans="1:5" ht="28.8" x14ac:dyDescent="0.3">
      <c r="A27" s="102"/>
      <c r="B27" s="83" t="s">
        <v>134</v>
      </c>
      <c r="C27" s="2" t="s">
        <v>135</v>
      </c>
      <c r="D27" s="2" t="s">
        <v>136</v>
      </c>
      <c r="E27" s="99" t="s">
        <v>137</v>
      </c>
    </row>
    <row r="28" spans="1:5" ht="72" x14ac:dyDescent="0.3">
      <c r="A28" s="102"/>
      <c r="B28" s="83" t="s">
        <v>139</v>
      </c>
      <c r="C28" s="2" t="s">
        <v>191</v>
      </c>
      <c r="D28" s="2" t="s">
        <v>186</v>
      </c>
      <c r="E28" s="99" t="s">
        <v>205</v>
      </c>
    </row>
    <row r="29" spans="1:5" ht="43.2" x14ac:dyDescent="0.3">
      <c r="A29" s="102"/>
      <c r="B29" s="83" t="s">
        <v>143</v>
      </c>
      <c r="C29" s="2" t="s">
        <v>135</v>
      </c>
      <c r="D29" s="2" t="s">
        <v>144</v>
      </c>
      <c r="E29" s="99" t="s">
        <v>145</v>
      </c>
    </row>
    <row r="30" spans="1:5" ht="72" x14ac:dyDescent="0.3">
      <c r="A30" s="102"/>
      <c r="B30" s="83" t="s">
        <v>232</v>
      </c>
      <c r="C30" s="2" t="s">
        <v>201</v>
      </c>
      <c r="D30" s="2" t="s">
        <v>188</v>
      </c>
      <c r="E30" s="99" t="s">
        <v>189</v>
      </c>
    </row>
    <row r="31" spans="1:5" ht="28.8" x14ac:dyDescent="0.3">
      <c r="A31" s="102"/>
      <c r="B31" s="83" t="s">
        <v>183</v>
      </c>
      <c r="C31" s="2" t="s">
        <v>161</v>
      </c>
      <c r="D31" s="2" t="s">
        <v>162</v>
      </c>
      <c r="E31" s="99" t="s">
        <v>163</v>
      </c>
    </row>
    <row r="32" spans="1:5" ht="28.8" x14ac:dyDescent="0.3">
      <c r="A32" s="102" t="s">
        <v>208</v>
      </c>
      <c r="B32" s="83" t="s">
        <v>209</v>
      </c>
      <c r="C32" s="2" t="s">
        <v>169</v>
      </c>
      <c r="D32" s="2" t="s">
        <v>150</v>
      </c>
      <c r="E32" s="99" t="s">
        <v>151</v>
      </c>
    </row>
    <row r="33" spans="1:5" x14ac:dyDescent="0.3">
      <c r="A33" s="102"/>
      <c r="B33" s="83" t="s">
        <v>210</v>
      </c>
      <c r="C33" s="2" t="s">
        <v>173</v>
      </c>
      <c r="D33" s="2" t="s">
        <v>155</v>
      </c>
      <c r="E33" s="99"/>
    </row>
    <row r="34" spans="1:5" ht="86.4" x14ac:dyDescent="0.3">
      <c r="A34" s="102"/>
      <c r="B34" s="83" t="s">
        <v>211</v>
      </c>
      <c r="C34" s="2" t="s">
        <v>212</v>
      </c>
      <c r="D34" s="2" t="s">
        <v>213</v>
      </c>
      <c r="E34" s="99" t="s">
        <v>214</v>
      </c>
    </row>
    <row r="35" spans="1:5" ht="72" x14ac:dyDescent="0.3">
      <c r="A35" s="102"/>
      <c r="B35" s="83" t="s">
        <v>139</v>
      </c>
      <c r="C35" s="2" t="s">
        <v>120</v>
      </c>
      <c r="D35" s="2" t="s">
        <v>140</v>
      </c>
      <c r="E35" s="99" t="s">
        <v>215</v>
      </c>
    </row>
    <row r="36" spans="1:5" ht="57.6" x14ac:dyDescent="0.3">
      <c r="A36" s="102"/>
      <c r="B36" s="83" t="s">
        <v>143</v>
      </c>
      <c r="C36" s="2" t="s">
        <v>135</v>
      </c>
      <c r="D36" s="2" t="s">
        <v>216</v>
      </c>
      <c r="E36" s="99" t="s">
        <v>217</v>
      </c>
    </row>
    <row r="37" spans="1:5" ht="72" x14ac:dyDescent="0.3">
      <c r="A37" s="102"/>
      <c r="B37" s="83" t="s">
        <v>218</v>
      </c>
      <c r="C37" s="2" t="s">
        <v>201</v>
      </c>
      <c r="D37" s="2" t="s">
        <v>158</v>
      </c>
      <c r="E37" s="99" t="s">
        <v>182</v>
      </c>
    </row>
    <row r="38" spans="1:5" ht="72" x14ac:dyDescent="0.3">
      <c r="A38" s="102" t="s">
        <v>219</v>
      </c>
      <c r="B38" s="83" t="s">
        <v>220</v>
      </c>
      <c r="C38" s="2" t="s">
        <v>129</v>
      </c>
      <c r="D38" s="2" t="s">
        <v>130</v>
      </c>
      <c r="E38" s="99" t="s">
        <v>185</v>
      </c>
    </row>
    <row r="39" spans="1:5" ht="28.8" x14ac:dyDescent="0.3">
      <c r="A39" s="102"/>
      <c r="B39" s="83" t="s">
        <v>221</v>
      </c>
      <c r="C39" s="2" t="s">
        <v>169</v>
      </c>
      <c r="D39" s="2" t="s">
        <v>222</v>
      </c>
      <c r="E39" s="99" t="s">
        <v>223</v>
      </c>
    </row>
    <row r="40" spans="1:5" x14ac:dyDescent="0.3">
      <c r="A40" s="102"/>
      <c r="B40" s="83" t="s">
        <v>224</v>
      </c>
      <c r="C40" s="2" t="s">
        <v>173</v>
      </c>
      <c r="D40" s="2" t="s">
        <v>155</v>
      </c>
      <c r="E40" s="99"/>
    </row>
    <row r="41" spans="1:5" ht="86.4" x14ac:dyDescent="0.3">
      <c r="A41" s="102"/>
      <c r="B41" s="83" t="s">
        <v>225</v>
      </c>
      <c r="C41" s="2" t="s">
        <v>175</v>
      </c>
      <c r="D41" s="2" t="s">
        <v>226</v>
      </c>
      <c r="E41" s="99" t="s">
        <v>227</v>
      </c>
    </row>
    <row r="42" spans="1:5" ht="43.2" x14ac:dyDescent="0.3">
      <c r="A42" s="102"/>
      <c r="B42" s="83" t="s">
        <v>143</v>
      </c>
      <c r="C42" s="2" t="s">
        <v>135</v>
      </c>
      <c r="D42" s="2" t="s">
        <v>228</v>
      </c>
      <c r="E42" s="99" t="s">
        <v>229</v>
      </c>
    </row>
    <row r="43" spans="1:5" ht="57.6" x14ac:dyDescent="0.3">
      <c r="A43" s="102"/>
      <c r="B43" s="83" t="s">
        <v>218</v>
      </c>
      <c r="C43" s="2" t="s">
        <v>201</v>
      </c>
      <c r="D43" s="2" t="s">
        <v>230</v>
      </c>
      <c r="E43" s="99" t="s">
        <v>231</v>
      </c>
    </row>
    <row r="44" spans="1:5" ht="28.8" x14ac:dyDescent="0.3">
      <c r="A44" s="103"/>
      <c r="B44" s="104" t="s">
        <v>183</v>
      </c>
      <c r="C44" s="100" t="s">
        <v>161</v>
      </c>
      <c r="D44" s="100" t="s">
        <v>162</v>
      </c>
      <c r="E44" s="101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Calculadora</vt:lpstr>
      <vt:lpstr>Referências</vt:lpstr>
      <vt:lpstr>Dieta</vt:lpstr>
      <vt:lpstr>Rotina</vt:lpstr>
      <vt:lpstr>Dieta até 23-10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Ernesto</cp:lastModifiedBy>
  <dcterms:modified xsi:type="dcterms:W3CDTF">2026-10-13T02:48:54Z</dcterms:modified>
</cp:coreProperties>
</file>