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971e35fa4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dora" sheetId="1" r:id="R4f70359fb9d1439a"/>
    <x:sheet xmlns:r="http://schemas.openxmlformats.org/officeDocument/2006/relationships" name="Referências" sheetId="2" r:id="R8ab76e1291124fae"/>
    <x:sheet xmlns:r="http://schemas.openxmlformats.org/officeDocument/2006/relationships" name="Dieta" sheetId="3" r:id="R6b4925c517cc466b"/>
    <x:sheet xmlns:r="http://schemas.openxmlformats.org/officeDocument/2006/relationships" name="Rotina" sheetId="4" r:id="Rc7593e02655947b5"/>
  </x:sheets>
</x:workbook>
</file>

<file path=xl/sharedStrings.xml><?xml version="1.0" encoding="utf-8"?>
<x:sst xmlns:x="http://schemas.openxmlformats.org/spreadsheetml/2006/main">
  <x:si>
    <x:t xml:space="preserve">Calculadora de Calorias e Macros para Ganho de Massa</x:t>
  </x:si>
  <x:si>
    <x:t xml:space="preserve">Preencha apenas as células amarelas. Os resultados são calculados automaticamente.</x:t>
  </x:si>
  <x:si>
    <x:t xml:space="preserve">SEUS DADOS</x:t>
  </x:si>
  <x:si>
    <x:t xml:space="preserve">VALOR</x:t>
  </x:si>
  <x:si>
    <x:t xml:space="preserve">Sexo</x:t>
  </x:si>
  <x:si>
    <x:t xml:space="preserve">Masculino</x:t>
  </x:si>
  <x:si>
    <x:t xml:space="preserve">Idade (anos)</x:t>
  </x:si>
  <x:si>
    <x:t xml:space="preserve">Peso (kg)</x:t>
  </x:si>
  <x:si>
    <x:t xml:space="preserve">Altura (cm)</x:t>
  </x:si>
  <x:si>
    <x:t xml:space="preserve">Nível de atividade</x:t>
  </x:si>
  <x:si>
    <x:t xml:space="preserve">Intenso (6–7x/semana)</x:t>
  </x:si>
  <x:si>
    <x:t xml:space="preserve">Superávit desejado (kcal)</x:t>
  </x:si>
  <x:si>
    <x:t xml:space="preserve">Proteína (g/kg)</x:t>
  </x:si>
  <x:si>
    <x:t xml:space="preserve">Gordura (g/kg)</x:t>
  </x:si>
  <x:si>
    <x:t xml:space="preserve">RESULTADOS</x:t>
  </x:si>
  <x:si>
    <x:t xml:space="preserve">UNIDADE</x:t>
  </x:si>
  <x:si>
    <x:t xml:space="preserve">O QUE SIGNIFICA</x:t>
  </x:si>
  <x:si>
    <x:t xml:space="preserve">Taxa Metabólica Basal (TMB)</x:t>
  </x:si>
  <x:si>
    <x:t xml:space="preserve">kcal/dia</x:t>
  </x:si>
  <x:si>
    <x:t xml:space="preserve">Energia que seu corpo gasta em repouso.</x:t>
  </x:si>
  <x:si>
    <x:t xml:space="preserve">Fator de atividade</x:t>
  </x:si>
  <x:si>
    <x:t xml:space="preserve">x</x:t>
  </x:si>
  <x:si>
    <x:t xml:space="preserve">Multiplicador baseado no seu nível de atividade.</x:t>
  </x:si>
  <x:si>
    <x:t xml:space="preserve">Gasto Energético Total (GET/TDEE)</x:t>
  </x:si>
  <x:si>
    <x:t xml:space="preserve">Estimativa do gasto diário para manter o peso.</x:t>
  </x:si>
  <x:si>
    <x:t xml:space="preserve">Meta calórica para ganho de massa</x:t>
  </x:si>
  <x:si>
    <x:t xml:space="preserve">GET + superávit escolhido.</x:t>
  </x:si>
  <x:si>
    <x:t xml:space="preserve">Proteína</x:t>
  </x:si>
  <x:si>
    <x:t xml:space="preserve">g/dia</x:t>
  </x:si>
  <x:si>
    <x:t xml:space="preserve">Peso × meta de proteína em g/kg.</x:t>
  </x:si>
  <x:si>
    <x:t xml:space="preserve">Gordura</x:t>
  </x:si>
  <x:si>
    <x:t xml:space="preserve">Peso × meta de gordura em g/kg.</x:t>
  </x:si>
  <x:si>
    <x:t xml:space="preserve">Carboidratos</x:t>
  </x:si>
  <x:si>
    <x:t xml:space="preserve">Calorias restantes convertidas em carboidratos.</x:t>
  </x:si>
  <x:si>
    <x:t xml:space="preserve">Total calculado de calorias</x:t>
  </x:si>
  <x:si>
    <x:t xml:space="preserve">Conferência: proteína + gordura + carboidratos.</x:t>
  </x:si>
  <x:si>
    <x:t xml:space="preserve">Como a planilha calcula</x:t>
  </x:si>
  <x:si>
    <x:t xml:space="preserve">TMB: fórmula de Mifflin–St Jeor.
GET/TDEE: TMB × fator de atividade.
Meta calórica: GET + superávit.
Macros: proteína e gordura são definidas por g/kg; carboidratos completam as calorias restantes.</x:t>
  </x:si>
  <x:si>
    <x:t xml:space="preserve">Observação: estes valores são estimativas para planejamento. A evolução do peso, desempenho e composição corporal deve ser usada para ajustar as calorias ao longo das semanas.</x:t>
  </x:si>
  <x:si>
    <x:t xml:space="preserve">Fator</x:t>
  </x:si>
  <x:si>
    <x:t xml:space="preserve">Referência</x:t>
  </x:si>
  <x:si>
    <x:t xml:space="preserve">Faixa sugerida</x:t>
  </x:si>
  <x:si>
    <x:t xml:space="preserve">Sedentário</x:t>
  </x:si>
  <x:si>
    <x:t xml:space="preserve">1,6–2,2 g/kg/dia</x:t>
  </x:si>
  <x:si>
    <x:t xml:space="preserve">Leve (1–3x/semana)</x:t>
  </x:si>
  <x:si>
    <x:t xml:space="preserve">Gorduras</x:t>
  </x:si>
  <x:si>
    <x:t xml:space="preserve">0,7–1,0 g/kg/dia</x:t>
  </x:si>
  <x:si>
    <x:t xml:space="preserve">Moderado (3–5x/semana)</x:t>
  </x:si>
  <x:si>
    <x:t xml:space="preserve">Superávit inicial</x:t>
  </x:si>
  <x:si>
    <x:t xml:space="preserve">+200 a +300 kcal/dia</x:t>
  </x:si>
  <x:si>
    <x:t xml:space="preserve">Muito intenso / trabalho físico</x:t>
  </x:si>
  <x:si>
    <x:t xml:space="preserve">Refeição</x:t>
  </x:si>
  <x:si>
    <x:t xml:space="preserve">Alimentos</x:t>
  </x:si>
  <x:si>
    <x:t xml:space="preserve">Quantidade aproximada</x:t>
  </x:si>
  <x:si>
    <x:t xml:space="preserve">Dia</x:t>
  </x:si>
  <x:si>
    <x:t xml:space="preserve">Horário</x:t>
  </x:si>
  <x:si>
    <x:t xml:space="preserve">Comida simples</x:t>
  </x:si>
  <x:si>
    <x:t xml:space="preserve">Quantidades</x:t>
  </x:si>
  <x:si>
    <x:t xml:space="preserve">PLANO NUTRICIONAL</x:t>
  </x:si>
  <x:si>
    <x:t xml:space="preserve">1. Café da manhã</x:t>
  </x:si>
  <x:si>
    <x:t xml:space="preserve">Pão</x:t>
  </x:si>
  <x:si>
    <x:t xml:space="preserve">2 fatias</x:t>
  </x:si>
  <x:si>
    <x:t xml:space="preserve">Segunda</x:t>
  </x:si>
  <x:si>
    <x:t xml:space="preserve">7h15</x:t>
  </x:si>
  <x:si>
    <x:t xml:space="preserve">Café da manhã</x:t>
  </x:si>
  <x:si>
    <x:t xml:space="preserve">Pão + queijo + leite + aveia + banana</x:t>
  </x:si>
  <x:si>
    <x:t xml:space="preserve">Pão|3 fatias
Queijo muçarela/prato|30 g
Leite|250 ml
Aveia|70 g
Banana|1 média</x:t>
  </x:si>
  <x:si>
    <x:t xml:space="preserve">Meta calórica</x:t>
  </x:si>
  <x:si>
    <x:t xml:space="preserve">~3.494 kcal/dia</x:t>
  </x:si>
  <x:si>
    <x:t xml:space="preserve">Muçarela</x:t>
  </x:si>
  <x:si>
    <x:t xml:space="preserve">30 g</x:t>
  </x:si>
  <x:si>
    <x:t xml:space="preserve">10h30</x:t>
  </x:si>
  <x:si>
    <x:t xml:space="preserve">Lanche</x:t>
  </x:si>
  <x:si>
    <x:t xml:space="preserve">~166 g/dia</x:t>
  </x:si>
  <x:si>
    <x:t xml:space="preserve">Leite</x:t>
  </x:si>
  <x:si>
    <x:t xml:space="preserve">250 ml</x:t>
  </x:si>
  <x:si>
    <x:t xml:space="preserve">13h00</x:t>
  </x:si>
  <x:si>
    <x:t xml:space="preserve">Almoço</x:t>
  </x:si>
  <x:si>
    <x:t xml:space="preserve">Arroz + feijão + frango + legumes + abacate</x:t>
  </x:si>
  <x:si>
    <x:t xml:space="preserve">Arroz cozido|350 g
Feijão cozido|150 g
Frango|120 g
Legumes/salada|200 g
Abacate|100 g</x:t>
  </x:si>
  <x:si>
    <x:t xml:space="preserve">~75 g/dia</x:t>
  </x:si>
  <x:si>
    <x:t xml:space="preserve">Aveia</x:t>
  </x:si>
  <x:si>
    <x:t xml:space="preserve">40 g</x:t>
  </x:si>
  <x:si>
    <x:t xml:space="preserve">16h30</x:t>
  </x:si>
  <x:si>
    <x:t xml:space="preserve">Pão + queijo + uva</x:t>
  </x:si>
  <x:si>
    <x:t xml:space="preserve">Pão|2 fatias
Queijo|30 g
Uva|100 g</x:t>
  </x:si>
  <x:si>
    <x:t xml:space="preserve">Ovo</x:t>
  </x:si>
  <x:si>
    <x:t xml:space="preserve">2 refeições/semana</x:t>
  </x:si>
  <x:si>
    <x:t xml:space="preserve">Banana</x:t>
  </x:si>
  <x:si>
    <x:t xml:space="preserve">1 média</x:t>
  </x:si>
  <x:si>
    <x:t xml:space="preserve">17h45</x:t>
  </x:si>
  <x:si>
    <x:t xml:space="preserve">Pré-Kung Fu</x:t>
  </x:si>
  <x:si>
    <x:t xml:space="preserve">Banana + pão</x:t>
  </x:si>
  <x:si>
    <x:t xml:space="preserve">Banana|1 média
Pão|2 fatias</x:t>
  </x:si>
  <x:si>
    <x:t xml:space="preserve">Plano principal</x:t>
  </x:si>
  <x:si>
    <x:t xml:space="preserve">Após 23/10</x:t>
  </x:si>
  <x:si>
    <x:t xml:space="preserve">2. Lanche da manhã</x:t>
  </x:si>
  <x:si>
    <x:t xml:space="preserve">Whey</x:t>
  </x:si>
  <x:si>
    <x:t xml:space="preserve">19h00–21h00</x:t>
  </x:si>
  <x:si>
    <x:t xml:space="preserve">🥋 Kung Fu</x:t>
  </x:si>
  <x:si>
    <x:t xml:space="preserve">—</x:t>
  </x:si>
  <x:si>
    <x:t xml:space="preserve">Mamão</x:t>
  </x:si>
  <x:si>
    <x:t xml:space="preserve">~200 g</x:t>
  </x:si>
  <x:si>
    <x:t xml:space="preserve">21h15</x:t>
  </x:si>
  <x:si>
    <x:t xml:space="preserve">Jantar / pós</x:t>
  </x:si>
  <x:si>
    <x:t xml:space="preserve">Arroz + feijão + carne + batata + legumes</x:t>
  </x:si>
  <x:si>
    <x:t xml:space="preserve">Arroz cozido|300 g
Feijão|100 g
Carne bovina magra|120 g
Batata cozida/assada|100 g
Legumes/salada|200 g</x:t>
  </x:si>
  <x:si>
    <x:t xml:space="preserve">3. Almoço</x:t>
  </x:si>
  <x:si>
    <x:t xml:space="preserve">Arroz cozido</x:t>
  </x:si>
  <x:si>
    <x:t xml:space="preserve">250 g</x:t>
  </x:si>
  <x:si>
    <x:t xml:space="preserve">22h30</x:t>
  </x:si>
  <x:si>
    <x:t xml:space="preserve">Ceia</x:t>
  </x:si>
  <x:si>
    <x:t xml:space="preserve">Leite + manga</x:t>
  </x:si>
  <x:si>
    <x:t xml:space="preserve">Leite|250 ml
Manga|150 g</x:t>
  </x:si>
  <x:si>
    <x:t xml:space="preserve">Feijão cozido</x:t>
  </x:si>
  <x:si>
    <x:t xml:space="preserve">150 g</x:t>
  </x:si>
  <x:si>
    <x:t xml:space="preserve">Terça</x:t>
  </x:si>
  <x:si>
    <x:t xml:space="preserve">Pão + ovos + leite + aveia + banana</x:t>
  </x:si>
  <x:si>
    <x:t xml:space="preserve">Pão|3 fatias
Ovos|2 unidades
Leite|250 ml
Aveia|60 g
Banana|1 média</x:t>
  </x:si>
  <x:si>
    <x:t xml:space="preserve">Frango</x:t>
  </x:si>
  <x:si>
    <x:t xml:space="preserve">~80 g</x:t>
  </x:si>
  <x:si>
    <x:t xml:space="preserve">10h15</x:t>
  </x:si>
  <x:si>
    <x:t xml:space="preserve">Brócolis + couve-flor + alface</x:t>
  </x:si>
  <x:si>
    <x:t xml:space="preserve">à vontade / ~200 g</x:t>
  </x:si>
  <x:si>
    <x:t xml:space="preserve">11h20</x:t>
  </x:si>
  <x:si>
    <x:t xml:space="preserve">Pré-academia</x:t>
  </x:si>
  <x:si>
    <x:t xml:space="preserve">Pão + banana</x:t>
  </x:si>
  <x:si>
    <x:t xml:space="preserve">Pão|2 fatias
Banana|1 média</x:t>
  </x:si>
  <x:si>
    <x:t xml:space="preserve">Abacate</x:t>
  </x:si>
  <x:si>
    <x:t xml:space="preserve">12h00–13h00</x:t>
  </x:si>
  <x:si>
    <x:t xml:space="preserve">🏋️ Academia</x:t>
  </x:si>
  <x:si>
    <x:t xml:space="preserve">4. Lanche / pré-treino</x:t>
  </x:si>
  <x:si>
    <x:t xml:space="preserve">13h10</x:t>
  </x:si>
  <x:si>
    <x:t xml:space="preserve">Almoço / pós</x:t>
  </x:si>
  <x:si>
    <x:t xml:space="preserve">Arroz cozido|350 g
Feijão cozido|150 g
Frango|120 g
Legumes/salada|200 g
Abacate|80 g</x:t>
  </x:si>
  <x:si>
    <x:t xml:space="preserve">Muçarela ou queijo prato</x:t>
  </x:si>
  <x:si>
    <x:t xml:space="preserve">Pré-Samba</x:t>
  </x:si>
  <x:si>
    <x:t xml:space="preserve">Pão|2 fatias
Queijo|30 g
Uva|120 g</x:t>
  </x:si>
  <x:si>
    <x:t xml:space="preserve">18h00–20h00</x:t>
  </x:si>
  <x:si>
    <x:t xml:space="preserve">🕺 Samba Rock</x:t>
  </x:si>
  <x:si>
    <x:t xml:space="preserve">Uva</x:t>
  </x:si>
  <x:si>
    <x:t xml:space="preserve">~100 g</x:t>
  </x:si>
  <x:si>
    <x:t xml:space="preserve">20h15</x:t>
  </x:si>
  <x:si>
    <x:t xml:space="preserve">Arroz cozido|300 g
Feijão|100 g
Carne bovina magra|120 g
Batata|100 g
Legumes/salada|200 g</x:t>
  </x:si>
  <x:si>
    <x:t xml:space="preserve">5. Jantar / pós-treino</x:t>
  </x:si>
  <x:si>
    <x:t xml:space="preserve">200 g</x:t>
  </x:si>
  <x:si>
    <x:t xml:space="preserve">22h15</x:t>
  </x:si>
  <x:si>
    <x:t xml:space="preserve">Feijão</x:t>
  </x:si>
  <x:si>
    <x:t xml:space="preserve">100 g</x:t>
  </x:si>
  <x:si>
    <x:t xml:space="preserve">Quarta</x:t>
  </x:si>
  <x:si>
    <x:t xml:space="preserve">Pão|3 fatias
Queijo|30 g
Leite|250 ml
Aveia|70 g
Banana|1 média</x:t>
  </x:si>
  <x:si>
    <x:t xml:space="preserve">Carne bovina magra</x:t>
  </x:si>
  <x:si>
    <x:t xml:space="preserve">Batata cozida/assada</x:t>
  </x:si>
  <x:si>
    <x:t xml:space="preserve">Arroz + feijão + carne + legumes + abacate</x:t>
  </x:si>
  <x:si>
    <x:t xml:space="preserve">Arroz cozido|350 g
Feijão|150 g
Carne bovina magra|120 g
Legumes/salada|200 g
Abacate|100 g</x:t>
  </x:si>
  <x:si>
    <x:t xml:space="preserve">Brócolis/couve-flor/alface</x:t>
  </x:si>
  <x:si>
    <x:t xml:space="preserve">6. Ceia</x:t>
  </x:si>
  <x:si>
    <x:t xml:space="preserve">Manga</x:t>
  </x:si>
  <x:si>
    <x:t xml:space="preserve">~150 g</x:t>
  </x:si>
  <x:si>
    <x:t xml:space="preserve">Arroz + feijão + frango + batata + legumes</x:t>
  </x:si>
  <x:si>
    <x:t xml:space="preserve">Arroz cozido|300 g
Feijão|100 g
Frango|120 g
Batata|100 g
Legumes/salada|200 g</x:t>
  </x:si>
  <x:si>
    <x:t xml:space="preserve">Quinta — presencial</x:t>
  </x:si>
  <x:si>
    <x:t xml:space="preserve">Marmita</x:t>
  </x:si>
  <x:si>
    <x:t xml:space="preserve">Arroz cozido|350 g
Feijão|150 g
Frango|120 g
Legumes|200 g
Abacate|80 g</x:t>
  </x:si>
  <x:si>
    <x:t xml:space="preserve">Lanche no trabalho</x:t>
  </x:si>
  <x:si>
    <x:t xml:space="preserve">Pão + queijo + fruta</x:t>
  </x:si>
  <x:si>
    <x:t xml:space="preserve">Pão|2 fatias
Queijo|30 g
Banana|1 média</x:t>
  </x:si>
  <x:si>
    <x:t xml:space="preserve">19h15</x:t>
  </x:si>
  <x:si>
    <x:t xml:space="preserve">Lanche ao chegar / caminho</x:t>
  </x:si>
  <x:si>
    <x:t xml:space="preserve">Whey + aveia + leite</x:t>
  </x:si>
  <x:si>
    <x:t xml:space="preserve">Whey|30 g
Aveia|40 g
Leite|250 ml</x:t>
  </x:si>
  <x:si>
    <x:t xml:space="preserve">20h30</x:t>
  </x:si>
  <x:si>
    <x:t xml:space="preserve">Jantar</x:t>
  </x:si>
  <x:si>
    <x:t xml:space="preserve">Manga ou mamão</x:t>
  </x:si>
  <x:si>
    <x:t xml:space="preserve">Manga|150 g
OU mamão|200 g</x:t>
  </x:si>
  <x:si>
    <x:t xml:space="preserve">Sexta — presencial</x:t>
  </x:si>
  <x:si>
    <x:t xml:space="preserve">Arroz cozido|350 g
Feijão|150 g
Carne bovina magra|120 g
Legumes|200 g
Abacate|80 g</x:t>
  </x:si>
  <x:si>
    <x:t xml:space="preserve">16h15</x:t>
  </x:si>
  <x:si>
    <x:t xml:space="preserve">17h30</x:t>
  </x:si>
  <x:si>
    <x:t xml:space="preserve">Sábado</x:t>
  </x:si>
  <x:si>
    <x:t xml:space="preserve">6h50</x:t>
  </x:si>
  <x:si>
    <x:t xml:space="preserve">8h00–9h00</x:t>
  </x:si>
  <x:si>
    <x:t xml:space="preserve">9h20</x:t>
  </x:si>
  <x:si>
    <x:t xml:space="preserve">Café / pós</x:t>
  </x:si>
  <x:si>
    <x:t xml:space="preserve">Pão + ovos + leite + aveia + mamão + whey</x:t>
  </x:si>
  <x:si>
    <x:t xml:space="preserve">Pão|3 fatias
Ovos|2 unidades
Leite|250 ml
Aveia|60 g
Mamão|200 g
Whey|30 g</x:t>
  </x:si>
  <x:si>
    <x:t xml:space="preserve">Arroz cozido|350 g
Feijão|150 g
Frango|120 g
Legumes/salada|200 g
Abacate|100 g</x:t>
  </x:si>
  <x:si>
    <x:t xml:space="preserve">Pão + queijo + banana + uva</x:t>
  </x:si>
  <x:si>
    <x:t xml:space="preserve">Pão|2 fatias
Queijo|30 g
Banana|1 média
Uva|100 g</x:t>
  </x:si>
  <x:si>
    <x:t xml:space="preserve">20h00</x:t>
  </x:si>
  <x:si>
    <x:t xml:space="preserve">Domingo</x:t>
  </x:si>
  <x:si>
    <x:t xml:space="preserve">8h00</x:t>
  </x:si>
  <x:si>
    <x:t xml:space="preserve">9h50</x:t>
  </x:si>
  <x:si>
    <x:t xml:space="preserve">Pão + uva</x:t>
  </x:si>
  <x:si>
    <x:t xml:space="preserve">Pão|2 fatias
Uva|100 g</x:t>
  </x:si>
  <x:si>
    <x:t xml:space="preserve">11h00–12h00</x:t>
  </x:si>
  <x:si>
    <x:t xml:space="preserve">12h30</x:t>
  </x:si>
  <x:si>
    <x:t xml:space="preserve">Arroz + feijão + carne + batata + legumes + abacate</x:t>
  </x:si>
  <x:si>
    <x:t xml:space="preserve">Arroz cozido|350 g
Feijão|150 g
Carne bovina magra|120 g
Batata|100 g
Legumes/salada|200 g
Abacate|80 g</x:t>
  </x:si>
  <x:si>
    <x:t xml:space="preserve">Whey + mamão + pão</x:t>
  </x:si>
  <x:si>
    <x:t xml:space="preserve">Whey|30 g
Mamão|200 g
Pão|2 fatias</x:t>
  </x:si>
  <x:si>
    <x:t xml:space="preserve">Arroz + feijão + frango + legumes</x:t>
  </x:si>
  <x:si>
    <x:t xml:space="preserve">Arroz cozido|300 g
Feijão|100 g
Frango|120 g
Legumes/salada|200 g</x:t>
  </x:si>
  <x:si>
    <x:t xml:space="preserve">em casa</x:t>
  </x:si>
  <x:si>
    <x:t xml:space="preserve">Atividades físicas</x:t>
  </x:si>
  <x:si>
    <x:t xml:space="preserve">rotina</x:t>
  </x:si>
  <x:si>
    <x:t xml:space="preserve">segunda-feira</x:t>
  </x:si>
  <x:si>
    <x:t xml:space="preserve">terça-feira</x:t>
  </x:si>
  <x:si>
    <x:t xml:space="preserve">quarta-feira</x:t>
  </x:si>
  <x:si>
    <x:t xml:space="preserve">Kung Fu</x:t>
  </x:si>
  <x:si>
    <x:t xml:space="preserve">Francês</x:t>
  </x:si>
  <x:si>
    <x:t xml:space="preserve">Samba Rock</x:t>
  </x:si>
  <x:si>
    <x:t xml:space="preserve">Tech</x:t>
  </x:si>
  <x:si>
    <x:t xml:space="preserve">Academia</x:t>
  </x:si>
  <x:si>
    <x:t xml:space="preserve">Inglês</x:t>
  </x:si>
  <x:si>
    <x:t xml:space="preserve">Trabalho</x:t>
  </x:si>
  <x:si>
    <x:t xml:space="preserve">App de Bares</x:t>
  </x:si>
  <x:si>
    <x:t xml:space="preserve">Almoço/Academia</x:t>
  </x:si>
  <x:si>
    <x:t xml:space="preserve">Alimentação e Banho</x:t>
  </x:si>
  <x:si>
    <x:t xml:space="preserve">Cavaquinho</x:t>
  </x:si>
  <x:si>
    <x:t xml:space="preserve">Livro</x:t>
  </x:si>
  <x:si>
    <x:t xml:space="preserve">Sem horário</x:t>
  </x:si>
  <x:si>
    <x:t xml:space="preserve">Alongamento</x:t>
  </x:si>
  <x:si>
    <x:t xml:space="preserve">Memorizaton Hack</x:t>
  </x:si>
  <x:si>
    <x:t xml:space="preserve">Trabalho presencial</x:t>
  </x:si>
  <x:si>
    <x:t xml:space="preserve">quinta-feita</x:t>
  </x:si>
  <x:si>
    <x:t xml:space="preserve">sexta-feira</x:t>
  </x:si>
  <x:si>
    <x:t xml:space="preserve">Almoço/Inglês</x:t>
  </x:si>
  <x:si>
    <x:t xml:space="preserve">Almoço/Francês</x:t>
  </x:si>
  <x:si>
    <x:t xml:space="preserve">Ir para casa</x:t>
  </x:si>
</x:sst>
</file>

<file path=xl/styles.xml><?xml version="1.0" encoding="utf-8"?>
<x:styleSheet xmlns:x="http://schemas.openxmlformats.org/spreadsheetml/2006/main">
  <x:numFmts count="2">
    <x:numFmt numFmtId="164" formatCode="0.0"/>
    <x:numFmt numFmtId="165" formatCode="h:mm;@"/>
  </x:numFmts>
  <x:fonts count="11">
    <x:font>
      <x:sz val="11"/>
      <x:name val="Carlito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name val="Carlito"/>
    </x:font>
    <x:font>
      <x:b/>
      <x:sz val="11"/>
      <x:color rgb="FF274E13"/>
      <x:name val="Carlito"/>
    </x:font>
    <x:font>
      <x:i/>
      <x:sz val="11"/>
      <x:color rgb="FF843C0C"/>
      <x:name val="Carlito"/>
    </x:font>
    <x:font>
      <x:b/>
      <x:sz val="11"/>
      <x:color theme="1"/>
      <x:name val="Calibri"/>
    </x:font>
    <x:font>
      <x:b/>
      <x:sz val="11"/>
      <x:color rgb="FF4C1D95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D9EAD3"/>
      </x:patternFill>
    </x:fill>
    <x:fill>
      <x:patternFill patternType="solid">
        <x:fgColor rgb="FFF7F7F7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70AD47"/>
      </x:patternFill>
    </x:fill>
    <x:fill>
      <x:patternFill patternType="solid">
        <x:fgColor rgb="FFEDE9FE"/>
      </x:patternFill>
    </x:fill>
    <x:fill>
      <x:patternFill patternType="solid">
        <x:fgColor rgb="FF1F4E78"/>
      </x:patternFill>
    </x:fill>
  </x:fills>
  <x:borders count="46">
    <x:border>
      <x:left/>
      <x:right/>
      <x:top/>
      <x:bottom/>
      <x:diagonal/>
    </x:border>
    <x:border>
      <x:left style="thin">
        <x:color rgb="FFD0D0D0"/>
      </x:left>
      <x:right/>
      <x:top style="thin">
        <x:color rgb="FFD0D0D0"/>
      </x:top>
      <x:bottom/>
      <x:diagonal/>
    </x:border>
    <x:border>
      <x:left/>
      <x:right/>
      <x:top style="thin">
        <x:color rgb="FFD0D0D0"/>
      </x:top>
      <x:bottom/>
      <x:diagonal/>
    </x:border>
    <x:border>
      <x:left/>
      <x:right style="thin">
        <x:color rgb="FFD0D0D0"/>
      </x:right>
      <x:top style="thin">
        <x:color rgb="FFD0D0D0"/>
      </x:top>
      <x:bottom/>
      <x:diagonal/>
    </x:border>
    <x:border>
      <x:left style="thin">
        <x:color rgb="FFD0D0D0"/>
      </x:left>
      <x:right/>
      <x:top/>
      <x:bottom/>
      <x:diagonal/>
    </x:border>
    <x:border>
      <x:left/>
      <x:right style="thin">
        <x:color rgb="FFD0D0D0"/>
      </x:right>
      <x:top/>
      <x:bottom/>
      <x:diagonal/>
    </x:border>
    <x:border>
      <x:left style="thin">
        <x:color rgb="FFD0D0D0"/>
      </x:left>
      <x:right/>
      <x:top/>
      <x:bottom style="thin">
        <x:color rgb="FFD0D0D0"/>
      </x:bottom>
      <x:diagonal/>
    </x:border>
    <x:border>
      <x:left/>
      <x:right/>
      <x:top/>
      <x:bottom style="thin">
        <x:color rgb="FFD0D0D0"/>
      </x:bottom>
      <x:diagonal/>
    </x:border>
    <x:border>
      <x:left/>
      <x:right style="thin">
        <x:color rgb="FFD0D0D0"/>
      </x:right>
      <x:top/>
      <x:bottom style="thin">
        <x:color rgb="FFD0D0D0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rgb="FFD9E1F2"/>
      </x:left>
      <x:right/>
      <x:top style="thin">
        <x:color rgb="FFD9E1F2"/>
      </x:top>
      <x:bottom style="medium">
        <x:color indexed="64"/>
      </x:bottom>
      <x:diagonal/>
    </x:border>
    <x:border>
      <x:left/>
      <x:right/>
      <x:top style="thin">
        <x:color rgb="FFD9E1F2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rgb="FFD9E1F2"/>
      </x:top>
      <x:bottom style="medium">
        <x:color indexed="64"/>
      </x:bottom>
      <x:diagonal/>
    </x:border>
    <x:border>
      <x:left/>
      <x:right style="thin">
        <x:color rgb="FFD9E1F2"/>
      </x:right>
      <x:top style="thin">
        <x:color rgb="FFD9E1F2"/>
      </x:top>
      <x:bottom/>
      <x:diagonal/>
    </x:border>
    <x:border>
      <x:left style="thin">
        <x:color rgb="FFD9E1F2"/>
      </x:left>
      <x:right/>
      <x:top style="medium">
        <x:color indexed="64"/>
      </x:top>
      <x:bottom/>
      <x:diagonal/>
    </x:border>
    <x:border>
      <x:left/>
      <x:right style="thin">
        <x:color rgb="FFD9E1F2"/>
      </x:right>
      <x:top/>
      <x:bottom/>
      <x:diagonal/>
    </x:border>
    <x:border>
      <x:left style="thin">
        <x:color rgb="FFD9E1F2"/>
      </x:left>
      <x:right/>
      <x:top/>
      <x:bottom/>
      <x:diagonal/>
    </x:border>
    <x:border>
      <x:left style="thin">
        <x:color rgb="FFD9E1F2"/>
      </x:left>
      <x:right/>
      <x:top/>
      <x:bottom style="medium">
        <x:color indexed="64"/>
      </x:bottom>
      <x:diagonal/>
    </x:border>
    <x:border>
      <x:left style="thin">
        <x:color rgb="FFD9E1F2"/>
      </x:left>
      <x:right/>
      <x:top/>
      <x:bottom style="thin">
        <x:color rgb="FFD9E1F2"/>
      </x:bottom>
      <x:diagonal/>
    </x:border>
    <x:border>
      <x:left/>
      <x:right/>
      <x:top/>
      <x:bottom style="thin">
        <x:color rgb="FFD9E1F2"/>
      </x:bottom>
      <x:diagonal/>
    </x:border>
    <x:border>
      <x:left/>
      <x:right style="thin">
        <x:color rgb="FFD9E1F2"/>
      </x:right>
      <x:top/>
      <x:bottom style="thin">
        <x:color rgb="FFD9E1F2"/>
      </x:bottom>
      <x:diagonal/>
    </x:border>
  </x:borders>
  <x:cellStyleXfs count="1">
    <x:xf numFmtId="0" fontId="0" fillId="0" borderId="0"/>
  </x:cellStyleXfs>
  <x:cellXfs count="105">
    <x:xf numFmtId="0" fontId="0" fillId="0" borderId="0" xfId="0"/>
    <x:xf numFmtId="0" fontId="3" fillId="2" borderId="0" xfId="0" applyFont="1" applyFill="1" applyAlignment="1">
      <x:alignment horizontal="center" wrapText="1"/>
    </x:xf>
    <x:xf numFmtId="0" fontId="0" fillId="0" borderId="0" xfId="0" applyAlignment="1">
      <x:alignment wrapText="1"/>
    </x:xf>
    <x:xf numFmtId="0" fontId="3" fillId="4" borderId="1" xfId="0" applyFont="1" applyFill="1" applyBorder="1" applyAlignment="1">
      <x:alignment horizontal="center" wrapText="1"/>
    </x:xf>
    <x:xf numFmtId="0" fontId="3" fillId="4" borderId="2" xfId="0" applyFont="1" applyFill="1" applyBorder="1" applyAlignment="1">
      <x:alignment horizontal="center" wrapText="1"/>
    </x:xf>
    <x:xf numFmtId="0" fontId="0" fillId="0" borderId="2" xfId="0" applyBorder="1" applyAlignment="1">
      <x:alignment wrapText="1"/>
    </x:xf>
    <x:xf numFmtId="0" fontId="0" fillId="0" borderId="3" xfId="0" applyBorder="1" applyAlignment="1">
      <x:alignment wrapText="1"/>
    </x:xf>
    <x:xf numFmtId="0" fontId="0" fillId="0" borderId="4" xfId="0" applyBorder="1" applyAlignment="1">
      <x:alignment wrapText="1"/>
    </x:xf>
    <x:xf numFmtId="0" fontId="6" fillId="5" borderId="0" xfId="0" applyFont="1" applyFill="1" applyAlignment="1">
      <x:alignment wrapText="1"/>
    </x:xf>
    <x:xf numFmtId="0" fontId="0" fillId="0" borderId="5" xfId="0" applyBorder="1" applyAlignment="1">
      <x:alignment wrapText="1"/>
    </x:xf>
    <x:xf numFmtId="164" fontId="6" fillId="5" borderId="0" xfId="0" applyNumberFormat="1" applyFont="1" applyFill="1" applyAlignment="1">
      <x:alignment wrapText="1"/>
    </x:xf>
    <x:xf numFmtId="1" fontId="6" fillId="5" borderId="0" xfId="0" applyNumberFormat="1" applyFont="1" applyFill="1" applyAlignment="1">
      <x:alignment wrapText="1"/>
    </x:xf>
    <x:xf numFmtId="0" fontId="3" fillId="6" borderId="4" xfId="0" applyFont="1" applyFill="1" applyBorder="1" applyAlignment="1">
      <x:alignment horizontal="center" wrapText="1"/>
    </x:xf>
    <x:xf numFmtId="0" fontId="3" fillId="6" borderId="0" xfId="0" applyFont="1" applyFill="1" applyAlignment="1">
      <x:alignment horizontal="center" wrapText="1"/>
    </x:xf>
    <x:xf numFmtId="0" fontId="3" fillId="6" borderId="5" xfId="0" applyFont="1" applyFill="1" applyBorder="1" applyAlignment="1">
      <x:alignment horizontal="center" wrapText="1"/>
    </x:xf>
    <x:xf numFmtId="164" fontId="6" fillId="7" borderId="0" xfId="0" applyNumberFormat="1" applyFont="1" applyFill="1" applyAlignment="1">
      <x:alignment wrapText="1"/>
    </x:xf>
    <x:xf numFmtId="0" fontId="0" fillId="0" borderId="6" xfId="0" applyBorder="1" applyAlignment="1">
      <x:alignment wrapText="1"/>
    </x:xf>
    <x:xf numFmtId="164" fontId="6" fillId="7" borderId="7" xfId="0" applyNumberFormat="1" applyFont="1" applyFill="1" applyBorder="1" applyAlignment="1">
      <x:alignment wrapText="1"/>
    </x:xf>
    <x:xf numFmtId="0" fontId="0" fillId="0" borderId="7" xfId="0" applyBorder="1" applyAlignment="1">
      <x:alignment wrapText="1"/>
    </x:xf>
    <x:xf numFmtId="0" fontId="0" fillId="0" borderId="8" xfId="0" applyBorder="1" applyAlignment="1">
      <x:alignment wrapText="1"/>
    </x:xf>
    <x:xf numFmtId="164" fontId="6" fillId="11" borderId="0" xfId="0" applyNumberFormat="1" applyFont="1" applyFill="1" applyAlignment="1">
      <x:alignment wrapText="1"/>
    </x:xf>
    <x:xf numFmtId="0" fontId="6" fillId="11" borderId="4" xfId="0" applyFont="1" applyFill="1" applyBorder="1" applyAlignment="1">
      <x:alignment wrapText="1"/>
    </x:xf>
    <x:xf numFmtId="0" fontId="6" fillId="11" borderId="0" xfId="0" applyFont="1" applyFill="1" applyAlignment="1">
      <x:alignment wrapText="1"/>
    </x:xf>
    <x:xf numFmtId="0" fontId="6" fillId="11" borderId="5" xfId="0" applyFont="1" applyFill="1" applyBorder="1" applyAlignment="1">
      <x:alignment wrapText="1"/>
    </x:xf>
    <x:xf numFmtId="0" fontId="0" fillId="0" borderId="0" xfId="0" applyAlignment="1">
      <x:alignment horizontal="center" vertical="center"/>
    </x:xf>
    <x:xf numFmtId="0" fontId="0" fillId="0" borderId="10" xfId="0" applyBorder="1" applyAlignment="1">
      <x:alignment horizontal="center" vertical="center" wrapText="1"/>
    </x:xf>
    <x:xf numFmtId="0" fontId="0" fillId="0" borderId="11" xfId="0" applyBorder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13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16" xfId="0" applyBorder="1" applyAlignment="1">
      <x:alignment horizontal="center" vertical="center" wrapText="1"/>
    </x:xf>
    <x:xf numFmtId="0" fontId="6" fillId="0" borderId="17" xfId="0" applyFont="1" applyBorder="1" applyAlignment="1">
      <x:alignment horizontal="center" vertical="center" wrapText="1"/>
    </x:xf>
    <x:xf numFmtId="0" fontId="6" fillId="0" borderId="18" xfId="0" applyFont="1" applyBorder="1" applyAlignment="1">
      <x:alignment horizontal="center" vertical="center" wrapText="1"/>
    </x:xf>
    <x:xf numFmtId="0" fontId="6" fillId="0" borderId="19" xfId="0" applyFont="1" applyBorder="1" applyAlignment="1">
      <x:alignment horizontal="center" vertical="center" wrapText="1"/>
    </x:xf>
    <x:xf numFmtId="0" fontId="2" fillId="0" borderId="20" xfId="0" applyFont="1" applyBorder="1" applyAlignment="1">
      <x:alignment horizontal="center" vertical="center"/>
    </x:xf>
    <x:xf numFmtId="0" fontId="9" fillId="0" borderId="21" xfId="0" applyFont="1" applyBorder="1" applyAlignment="1">
      <x:alignment horizontal="center" vertical="center"/>
    </x:xf>
    <x:xf numFmtId="0" fontId="9" fillId="0" borderId="22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165" fontId="9" fillId="0" borderId="31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24" xfId="0" applyFont="1" applyBorder="1" applyAlignment="1">
      <x:alignment horizontal="center" vertical="center"/>
    </x:xf>
    <x:xf numFmtId="0" fontId="0" fillId="0" borderId="22" xfId="0" applyBorder="1" applyAlignment="1">
      <x:alignment horizontal="center" vertical="center"/>
    </x:xf>
    <x:xf numFmtId="165" fontId="9" fillId="0" borderId="32" xfId="0" applyNumberFormat="1" applyFont="1" applyBorder="1" applyAlignment="1">
      <x:alignment horizontal="center" vertical="center"/>
    </x:xf>
    <x:xf numFmtId="0" fontId="0" fillId="0" borderId="27" xfId="0" applyBorder="1" applyAlignment="1">
      <x:alignment horizontal="center" vertical="center"/>
    </x:xf>
    <x:xf numFmtId="0" fontId="0" fillId="0" borderId="24" xfId="0" applyBorder="1" applyAlignment="1">
      <x:alignment horizontal="center" vertical="center"/>
    </x:xf>
    <x:xf numFmtId="165" fontId="9" fillId="0" borderId="33" xfId="0" applyNumberFormat="1" applyFont="1" applyBorder="1" applyAlignment="1">
      <x:alignment horizontal="center" vertical="center"/>
    </x:xf>
    <x:xf numFmtId="0" fontId="0" fillId="0" borderId="26" xfId="0" applyBorder="1" applyAlignment="1">
      <x:alignment horizontal="center" vertical="center"/>
    </x:xf>
    <x:xf numFmtId="0" fontId="0" fillId="0" borderId="32" xfId="0" applyBorder="1" applyAlignment="1">
      <x:alignment horizontal="center" vertical="center"/>
    </x:xf>
    <x:xf numFmtId="0" fontId="9" fillId="0" borderId="34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0" borderId="32" xfId="0" applyBorder="1" applyAlignment="1">
      <x:alignment horizontal="center"/>
    </x:xf>
    <x:xf numFmtId="0" fontId="0" fillId="0" borderId="33" xfId="0" applyBorder="1" applyAlignment="1">
      <x:alignment horizontal="center"/>
    </x:xf>
    <x:xf numFmtId="0" fontId="1" fillId="0" borderId="24" xfId="0" applyFont="1" applyBorder="1" applyAlignment="1">
      <x:alignment horizontal="center" vertical="center"/>
    </x:xf>
    <x:xf numFmtId="0" fontId="0" fillId="0" borderId="25" xfId="0" applyBorder="1" applyAlignment="1">
      <x:alignment horizontal="center" vertical="center"/>
    </x:xf>
    <x:xf numFmtId="0" fontId="0" fillId="0" borderId="21" xfId="0" applyBorder="1" applyAlignment="1">
      <x:alignment horizontal="center" vertical="center"/>
    </x:xf>
    <x:xf numFmtId="0" fontId="0" fillId="0" borderId="20" xfId="0" applyBorder="1" applyAlignment="1">
      <x:alignment horizontal="center" vertical="center"/>
    </x:xf>
    <x:xf numFmtId="0" fontId="6" fillId="0" borderId="0" xfId="0" applyFont="1" applyAlignment="1">
      <x:alignment horizontal="center" vertical="center" wrapText="1"/>
    </x:xf>
    <x:xf numFmtId="0" fontId="6" fillId="0" borderId="13" xfId="0" applyFont="1" applyBorder="1" applyAlignment="1">
      <x:alignment horizontal="center" vertical="center" wrapText="1"/>
    </x:xf>
    <x:xf numFmtId="0" fontId="6" fillId="0" borderId="15" xfId="0" applyFont="1" applyBorder="1" applyAlignment="1">
      <x:alignment horizontal="center" vertical="center" wrapText="1"/>
    </x:xf>
    <x:xf numFmtId="0" fontId="6" fillId="0" borderId="16" xfId="0" applyFont="1" applyBorder="1" applyAlignment="1">
      <x:alignment horizontal="center" vertical="center" wrapText="1"/>
    </x:xf>
    <x:xf numFmtId="0" fontId="6" fillId="0" borderId="10" xfId="0" applyFont="1" applyBorder="1" applyAlignment="1">
      <x:alignment horizontal="center" vertical="center" wrapText="1"/>
    </x:xf>
    <x:xf numFmtId="0" fontId="6" fillId="0" borderId="11" xfId="0" applyFont="1" applyBorder="1" applyAlignment="1">
      <x:alignment horizontal="center" vertical="center" wrapText="1"/>
    </x:xf>
    <x:xf numFmtId="0" fontId="3" fillId="12" borderId="35" xfId="0" applyFont="1" applyFill="1" applyBorder="1" applyAlignment="1">
      <x:alignment horizontal="center" vertical="center" wrapText="1"/>
    </x:xf>
    <x:xf numFmtId="0" fontId="3" fillId="12" borderId="36" xfId="0" applyFont="1" applyFill="1" applyBorder="1" applyAlignment="1">
      <x:alignment horizontal="center" vertical="center" wrapText="1"/>
    </x:xf>
    <x:xf numFmtId="0" fontId="3" fillId="12" borderId="37" xfId="0" applyFont="1" applyFill="1" applyBorder="1" applyAlignment="1">
      <x:alignment horizontal="center" vertical="center" wrapText="1"/>
    </x:xf>
    <x:xf numFmtId="0" fontId="3" fillId="12" borderId="38" xfId="0" applyFont="1" applyFill="1" applyBorder="1" applyAlignment="1">
      <x:alignment horizontal="center" vertical="center"/>
    </x:xf>
    <x:xf numFmtId="0" fontId="0" fillId="0" borderId="40" xfId="0" applyBorder="1" applyAlignment="1">
      <x:alignment wrapText="1"/>
    </x:xf>
    <x:xf numFmtId="0" fontId="0" fillId="0" borderId="44" xfId="0" applyBorder="1" applyAlignment="1">
      <x:alignment wrapText="1"/>
    </x:xf>
    <x:xf numFmtId="0" fontId="0" fillId="0" borderId="45" xfId="0" applyBorder="1" applyAlignment="1">
      <x:alignment wrapText="1"/>
    </x:xf>
    <x:xf numFmtId="0" fontId="6" fillId="0" borderId="41" xfId="0" applyFont="1" applyBorder="1" applyAlignment="1">
      <x:alignment wrapText="1"/>
    </x:xf>
    <x:xf numFmtId="0" fontId="6" fillId="0" borderId="43" xfId="0" applyFont="1" applyBorder="1" applyAlignment="1">
      <x:alignment wrapText="1"/>
    </x:xf>
    <x:xf numFmtId="0" fontId="0" fillId="0" borderId="0" xfId="0" applyAlignment="1">
      <x:alignment horizontal="center" wrapText="1"/>
    </x:xf>
    <x:xf numFmtId="0" fontId="0" fillId="0" borderId="44" xfId="0" applyBorder="1" applyAlignment="1">
      <x:alignment horizontal="center" wrapText="1"/>
    </x:xf>
    <x:xf numFmtId="0" fontId="6" fillId="13" borderId="15" xfId="0" applyFont="1" applyFill="1" applyBorder="1" applyAlignment="1">
      <x:alignment horizontal="center" vertical="center" wrapText="1"/>
    </x:xf>
    <x:xf numFmtId="0" fontId="6" fillId="13" borderId="16" xfId="0" applyFont="1" applyFill="1" applyBorder="1" applyAlignment="1">
      <x:alignment horizontal="center" vertical="center" wrapText="1"/>
    </x:xf>
    <x:xf numFmtId="0" fontId="0" fillId="13" borderId="40" xfId="0" applyFill="1" applyBorder="1" applyAlignment="1">
      <x:alignment wrapText="1"/>
    </x:xf>
    <x:xf numFmtId="0" fontId="10" fillId="13" borderId="15" xfId="0" applyFont="1" applyFill="1" applyBorder="1" applyAlignment="1">
      <x:alignment horizontal="center" vertical="center" wrapText="1"/>
    </x:xf>
    <x:xf numFmtId="0" fontId="0" fillId="13" borderId="0" xfId="0" applyFill="1" applyAlignment="1">
      <x:alignment horizontal="center" vertical="center" wrapText="1"/>
    </x:xf>
    <x:xf numFmtId="0" fontId="0" fillId="13" borderId="13" xfId="0" applyFill="1" applyBorder="1" applyAlignment="1">
      <x:alignment horizontal="center" vertical="center" wrapText="1"/>
    </x:xf>
    <x:xf numFmtId="0" fontId="10" fillId="13" borderId="0" xfId="0" applyFont="1" applyFill="1" applyAlignment="1">
      <x:alignment horizontal="center" vertical="center" wrapText="1"/>
    </x:xf>
    <x:xf numFmtId="0" fontId="6" fillId="13" borderId="41" xfId="0" applyFont="1" applyFill="1" applyBorder="1" applyAlignment="1">
      <x:alignment wrapText="1"/>
    </x:xf>
    <x:xf numFmtId="0" fontId="0" fillId="13" borderId="0" xfId="0" applyFill="1" applyAlignment="1">
      <x:alignment horizontal="center" wrapText="1"/>
    </x:xf>
    <x:xf numFmtId="0" fontId="0" fillId="13" borderId="0" xfId="0" applyFill="1" applyAlignment="1">
      <x:alignment wrapText="1"/>
    </x:xf>
    <x:xf numFmtId="0" fontId="10" fillId="13" borderId="0" xfId="0" applyFont="1" applyFill="1" applyAlignment="1">
      <x:alignment wrapText="1"/>
    </x:xf>
    <x:xf numFmtId="0" fontId="4" fillId="2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wrapText="1"/>
    </x:xf>
    <x:xf numFmtId="0" fontId="7" fillId="8" borderId="0" xfId="0" applyFont="1" applyFill="1" applyAlignment="1">
      <x:alignment horizontal="center" wrapText="1"/>
    </x:xf>
    <x:xf numFmtId="0" fontId="0" fillId="9" borderId="0" xfId="0" applyFill="1" applyAlignment="1">
      <x:alignment vertical="top" wrapText="1"/>
    </x:xf>
    <x:xf numFmtId="0" fontId="8" fillId="10" borderId="0" xfId="0" applyFont="1" applyFill="1" applyAlignment="1">
      <x:alignment wrapText="1"/>
    </x:xf>
    <x:xf numFmtId="0" fontId="3" fillId="14" borderId="0" xfId="0" applyFont="1" applyFill="1" applyAlignment="1">
      <x:alignment horizontal="center"/>
    </x:xf>
    <x:xf numFmtId="0" fontId="6" fillId="0" borderId="9" xfId="0" applyFont="1" applyBorder="1" applyAlignment="1">
      <x:alignment horizontal="center" vertical="center" wrapText="1"/>
    </x:xf>
    <x:xf numFmtId="0" fontId="6" fillId="0" borderId="14" xfId="0" applyFont="1" applyBorder="1" applyAlignment="1">
      <x:alignment horizontal="center" vertical="center" wrapText="1"/>
    </x:xf>
    <x:xf numFmtId="0" fontId="6" fillId="0" borderId="12" xfId="0" applyFont="1" applyBorder="1" applyAlignment="1">
      <x:alignment horizontal="center" vertical="center" wrapText="1"/>
    </x:xf>
    <x:xf numFmtId="0" fontId="6" fillId="0" borderId="39" xfId="0" applyFont="1" applyBorder="1" applyAlignment="1">
      <x:alignment horizontal="center" vertical="center" wrapText="1"/>
    </x:xf>
    <x:xf numFmtId="0" fontId="6" fillId="0" borderId="41" xfId="0" applyFont="1" applyBorder="1" applyAlignment="1">
      <x:alignment horizontal="center" vertical="center" wrapText="1"/>
    </x:xf>
    <x:xf numFmtId="0" fontId="6" fillId="13" borderId="41" xfId="0" applyFont="1" applyFill="1" applyBorder="1" applyAlignment="1">
      <x:alignment horizontal="center" vertical="center" wrapText="1"/>
    </x:xf>
    <x:xf numFmtId="0" fontId="6" fillId="0" borderId="42" xfId="0" applyFont="1" applyBorder="1" applyAlignment="1">
      <x:alignment horizontal="center" vertical="center" wrapText="1"/>
    </x:xf>
    <x:xf numFmtId="0" fontId="6" fillId="13" borderId="42" xfId="0" applyFont="1" applyFill="1" applyBorder="1" applyAlignment="1">
      <x:alignment horizontal="center" vertical="center" wrapText="1"/>
    </x:xf>
    <x:xf numFmtId="165" fontId="9" fillId="0" borderId="31" xfId="0" applyNumberFormat="1" applyFont="1" applyBorder="1" applyAlignment="1">
      <x:alignment horizontal="center" vertical="center"/>
    </x:xf>
    <x:xf numFmtId="165" fontId="9" fillId="0" borderId="33" xfId="0" applyNumberFormat="1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0" borderId="24" xfId="0" applyBorder="1" applyAlignment="1">
      <x:alignment horizontal="center" vertical="center"/>
    </x:xf>
    <x:xf numFmtId="0" fontId="0" fillId="0" borderId="23" xfId="0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610231f354092" /><Relationship Type="http://schemas.openxmlformats.org/officeDocument/2006/relationships/theme" Target="/xl/theme/theme1.xml" Id="R11686b59dfd743c9" /><Relationship Type="http://schemas.openxmlformats.org/officeDocument/2006/relationships/sharedStrings" Target="/xl/sharedStrings.xml" Id="R4f4a9725b9a64a4e" /><Relationship Type="http://schemas.openxmlformats.org/officeDocument/2006/relationships/worksheet" Target="/xl/worksheets/sheet1.xml" Id="R4f70359fb9d1439a" /><Relationship Type="http://schemas.openxmlformats.org/officeDocument/2006/relationships/worksheet" Target="/xl/worksheets/sheet2.xml" Id="R8ab76e1291124fae" /><Relationship Type="http://schemas.openxmlformats.org/officeDocument/2006/relationships/worksheet" Target="/xl/worksheets/sheet3.xml" Id="R6b4925c517cc466b" /><Relationship Type="http://schemas.openxmlformats.org/officeDocument/2006/relationships/worksheet" Target="/xl/worksheets/sheet4.xml" Id="Rc7593e02655947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31" customWidth="1"/>
    <x:col min="2" max="2" width="20" customWidth="1"/>
    <x:col min="3" max="3" width="14" customWidth="1"/>
    <x:col min="4" max="4" width="42" customWidth="1"/>
  </x:cols>
  <x:sheetData>
    <x:row r="1" ht="15.300000190734863" customHeight="1">
      <x:c r="A1" s="86" t="s">
        <x:v>0</x:v>
      </x:c>
      <x:c r="B1" s="86"/>
      <x:c r="C1" s="86"/>
      <x:c r="D1" s="86"/>
    </x:row>
    <x:row r="2">
      <x:c r="A2" s="2"/>
      <x:c r="B2" s="2"/>
      <x:c r="C2" s="2"/>
      <x:c r="D2" s="2"/>
    </x:row>
    <x:row r="3">
      <x:c r="A3" s="87" t="s">
        <x:v>1</x:v>
      </x:c>
      <x:c r="B3" s="87"/>
      <x:c r="C3" s="87"/>
      <x:c r="D3" s="87"/>
    </x:row>
    <x:row r="4">
      <x:c r="A4" s="2"/>
      <x:c r="B4" s="2"/>
      <x:c r="C4" s="2"/>
      <x:c r="D4" s="2"/>
    </x:row>
    <x:row r="5">
      <x:c r="A5" s="3" t="s">
        <x:v>2</x:v>
      </x:c>
      <x:c r="B5" s="4" t="s">
        <x:v>3</x:v>
      </x:c>
      <x:c r="C5" s="5"/>
      <x:c r="D5" s="6"/>
    </x:row>
    <x:row r="6">
      <x:c r="A6" s="7" t="s">
        <x:v>4</x:v>
      </x:c>
      <x:c r="B6" s="8" t="s">
        <x:v>5</x:v>
      </x:c>
      <x:c r="C6" s="2"/>
      <x:c r="D6" s="9"/>
    </x:row>
    <x:row r="7">
      <x:c r="A7" s="7" t="s">
        <x:v>6</x:v>
      </x:c>
      <x:c r="B7" s="10">
        <x:v>25</x:v>
      </x:c>
      <x:c r="C7" s="2"/>
      <x:c r="D7" s="9"/>
    </x:row>
    <x:row r="8">
      <x:c r="A8" s="7" t="s">
        <x:v>7</x:v>
      </x:c>
      <x:c r="B8" s="10">
        <x:v>83</x:v>
      </x:c>
      <x:c r="C8" s="2"/>
      <x:c r="D8" s="9"/>
    </x:row>
    <x:row r="9">
      <x:c r="A9" s="7" t="s">
        <x:v>8</x:v>
      </x:c>
      <x:c r="B9" s="10">
        <x:v>178</x:v>
      </x:c>
      <x:c r="C9" s="2"/>
      <x:c r="D9" s="9"/>
    </x:row>
    <x:row r="10" ht="28.799999237060547">
      <x:c r="A10" s="7" t="s">
        <x:v>9</x:v>
      </x:c>
      <x:c r="B10" s="10" t="s">
        <x:v>10</x:v>
      </x:c>
      <x:c r="C10" s="2"/>
      <x:c r="D10" s="9"/>
    </x:row>
    <x:row r="11">
      <x:c r="A11" s="7" t="s">
        <x:v>11</x:v>
      </x:c>
      <x:c r="B11" s="11">
        <x:v>350</x:v>
      </x:c>
      <x:c r="C11" s="2"/>
      <x:c r="D11" s="9"/>
    </x:row>
    <x:row r="12">
      <x:c r="A12" s="7" t="s">
        <x:v>12</x:v>
      </x:c>
      <x:c r="B12" s="10">
        <x:v>2</x:v>
      </x:c>
      <x:c r="C12" s="2"/>
      <x:c r="D12" s="9"/>
    </x:row>
    <x:row r="13">
      <x:c r="A13" s="7" t="s">
        <x:v>13</x:v>
      </x:c>
      <x:c r="B13" s="10">
        <x:v>0.9</x:v>
      </x:c>
      <x:c r="C13" s="2"/>
      <x:c r="D13" s="9"/>
    </x:row>
    <x:row r="14">
      <x:c r="A14" s="7"/>
      <x:c r="B14" s="2"/>
      <x:c r="C14" s="2"/>
      <x:c r="D14" s="9"/>
    </x:row>
    <x:row r="15">
      <x:c r="A15" s="12" t="s">
        <x:v>14</x:v>
      </x:c>
      <x:c r="B15" s="13" t="s">
        <x:v>3</x:v>
      </x:c>
      <x:c r="C15" s="13" t="s">
        <x:v>15</x:v>
      </x:c>
      <x:c r="D15" s="14" t="s">
        <x:v>16</x:v>
      </x:c>
    </x:row>
    <x:row r="16">
      <x:c r="A16" s="7" t="s">
        <x:v>17</x:v>
      </x:c>
      <x:c r="B16" s="15" t="n">
        <x:f>IF(OR(B7&lt;=0,B8&lt;=0,B9&lt;=0),"",IF(B6="Masculino",(10*B8)+(6.25*B9)-(5*B7)+5,(10*B8)+(6.25*B9)-(5*B7)-161))</x:f>
        <x:v>1822.5</x:v>
      </x:c>
      <x:c r="C16" s="2" t="s">
        <x:v>18</x:v>
      </x:c>
      <x:c r="D16" s="9" t="s">
        <x:v>19</x:v>
      </x:c>
    </x:row>
    <x:row r="17">
      <x:c r="A17" s="7" t="s">
        <x:v>20</x:v>
      </x:c>
      <x:c r="B17" s="15" t="n">
        <x:f>IF(B10="Sedentário",1.2,IF(B10="Leve (1–3x/semana)",1.375,IF(B10="Moderado (3–5x/semana)",1.55,IF(B10="Intenso (6–7x/semana)",1.725,IF(B10="Muito intenso / trabalho físico",1.9,"")))))</x:f>
        <x:v>1.725</x:v>
      </x:c>
      <x:c r="C17" s="2" t="s">
        <x:v>21</x:v>
      </x:c>
      <x:c r="D17" s="9" t="s">
        <x:v>22</x:v>
      </x:c>
    </x:row>
    <x:row r="18">
      <x:c r="A18" s="7" t="s">
        <x:v>23</x:v>
      </x:c>
      <x:c r="B18" s="15" t="n">
        <x:f>IF(OR(B16="",B17=""),"",B16*B17)</x:f>
        <x:v>3143.8125</x:v>
      </x:c>
      <x:c r="C18" s="2" t="s">
        <x:v>18</x:v>
      </x:c>
      <x:c r="D18" s="9" t="s">
        <x:v>24</x:v>
      </x:c>
    </x:row>
    <x:row r="19" ht="28.799999237060547">
      <x:c r="A19" s="21" t="s">
        <x:v>25</x:v>
      </x:c>
      <x:c r="B19" s="20" t="n">
        <x:f>IF(B18="","",B18+B11)</x:f>
        <x:v>3493.8125</x:v>
      </x:c>
      <x:c r="C19" s="22" t="s">
        <x:v>18</x:v>
      </x:c>
      <x:c r="D19" s="23" t="s">
        <x:v>26</x:v>
      </x:c>
    </x:row>
    <x:row r="20">
      <x:c r="A20" s="7" t="s">
        <x:v>27</x:v>
      </x:c>
      <x:c r="B20" s="15" t="n">
        <x:f>IF(OR(B8&lt;=0,B12&lt;=0),"",B8*B12)</x:f>
        <x:v>166</x:v>
      </x:c>
      <x:c r="C20" s="2" t="s">
        <x:v>28</x:v>
      </x:c>
      <x:c r="D20" s="9" t="s">
        <x:v>29</x:v>
      </x:c>
    </x:row>
    <x:row r="21">
      <x:c r="A21" s="7" t="s">
        <x:v>30</x:v>
      </x:c>
      <x:c r="B21" s="15" t="n">
        <x:f>IF(OR(B8&lt;=0,B13&lt;=0),"",B8*B13)</x:f>
        <x:v>74.7</x:v>
      </x:c>
      <x:c r="C21" s="2" t="s">
        <x:v>28</x:v>
      </x:c>
      <x:c r="D21" s="9" t="s">
        <x:v>31</x:v>
      </x:c>
    </x:row>
    <x:row r="22">
      <x:c r="A22" s="7" t="s">
        <x:v>32</x:v>
      </x:c>
      <x:c r="B22" s="15" t="n">
        <x:f>IF(OR(B19="",B20="",B21=""),"",IF((B19-(B20*4)-(B21*9))&lt;0,0,(B19-(B20*4)-(B21*9))/4))</x:f>
        <x:v>539.378125</x:v>
      </x:c>
      <x:c r="C22" s="2" t="s">
        <x:v>28</x:v>
      </x:c>
      <x:c r="D22" s="9" t="s">
        <x:v>33</x:v>
      </x:c>
    </x:row>
    <x:row r="23">
      <x:c r="A23" s="16" t="s">
        <x:v>34</x:v>
      </x:c>
      <x:c r="B23" s="17" t="n">
        <x:f>IF(OR(B20="",B21="",B22=""),"",B20*4+B21*9+B22*4)</x:f>
        <x:v>3493.8125</x:v>
      </x:c>
      <x:c r="C23" s="18" t="s">
        <x:v>18</x:v>
      </x:c>
      <x:c r="D23" s="19" t="s">
        <x:v>35</x:v>
      </x:c>
    </x:row>
    <x:row r="24">
      <x:c r="A24" s="2"/>
      <x:c r="B24" s="2"/>
      <x:c r="C24" s="2"/>
      <x:c r="D24" s="2"/>
    </x:row>
    <x:row r="25">
      <x:c r="A25" s="88" t="s">
        <x:v>36</x:v>
      </x:c>
      <x:c r="B25" s="88"/>
      <x:c r="C25" s="88"/>
      <x:c r="D25" s="88"/>
    </x:row>
    <x:row r="26">
      <x:c r="A26" s="89" t="s">
        <x:v>37</x:v>
      </x:c>
      <x:c r="B26" s="89"/>
      <x:c r="C26" s="89"/>
      <x:c r="D26" s="89"/>
    </x:row>
    <x:row r="27">
      <x:c r="A27" s="89"/>
      <x:c r="B27" s="89"/>
      <x:c r="C27" s="89"/>
      <x:c r="D27" s="89"/>
    </x:row>
    <x:row r="28">
      <x:c r="A28" s="89"/>
      <x:c r="B28" s="89"/>
      <x:c r="C28" s="89"/>
      <x:c r="D28" s="89"/>
    </x:row>
    <x:row r="29">
      <x:c r="A29" s="89"/>
      <x:c r="B29" s="89"/>
      <x:c r="C29" s="89"/>
      <x:c r="D29" s="89"/>
    </x:row>
    <x:row r="30">
      <x:c r="A30" s="2"/>
      <x:c r="B30" s="2"/>
      <x:c r="C30" s="2"/>
      <x:c r="D30" s="2"/>
    </x:row>
    <x:row r="31">
      <x:c r="A31" s="90" t="s">
        <x:v>38</x:v>
      </x:c>
      <x:c r="B31" s="90"/>
      <x:c r="C31" s="90"/>
      <x:c r="D31" s="90"/>
    </x:row>
    <x:row r="32">
      <x:c r="A32" s="90"/>
      <x:c r="B32" s="90"/>
      <x:c r="C32" s="90"/>
      <x:c r="D32" s="90"/>
    </x:row>
  </x:sheetData>
  <x:mergeCells>
    <x:mergeCell ref="A1:D1"/>
    <x:mergeCell ref="A3:D3"/>
    <x:mergeCell ref="A25:D25"/>
    <x:mergeCell ref="A26:D29"/>
    <x:mergeCell ref="A31:D32"/>
  </x:mergeCells>
  <x:dataValidations count="1">
    <x:dataValidation type="list" sqref="B6">
      <x:formula1>"Masculino,Feminino"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30" customWidth="1"/>
    <x:col min="2" max="2" width="14" customWidth="1"/>
    <x:col min="4" max="4" width="20" customWidth="1"/>
    <x:col min="5" max="5" width="24" customWidth="1"/>
  </x:cols>
  <x:sheetData>
    <x:row r="1">
      <x:c r="A1" s="1" t="s">
        <x:v>9</x:v>
      </x:c>
      <x:c r="B1" s="1" t="s">
        <x:v>39</x:v>
      </x:c>
      <x:c r="C1" s="2"/>
      <x:c r="D1" s="1" t="s">
        <x:v>40</x:v>
      </x:c>
      <x:c r="E1" s="1" t="s">
        <x:v>41</x:v>
      </x:c>
    </x:row>
    <x:row r="2">
      <x:c r="A2" s="2" t="s">
        <x:v>42</x:v>
      </x:c>
      <x:c r="B2" s="2">
        <x:v>1.2</x:v>
      </x:c>
      <x:c r="C2" s="2"/>
      <x:c r="D2" s="2" t="s">
        <x:v>27</x:v>
      </x:c>
      <x:c r="E2" s="2" t="s">
        <x:v>43</x:v>
      </x:c>
    </x:row>
    <x:row r="3">
      <x:c r="A3" s="2" t="s">
        <x:v>44</x:v>
      </x:c>
      <x:c r="B3" s="2">
        <x:v>1.375</x:v>
      </x:c>
      <x:c r="C3" s="2"/>
      <x:c r="D3" s="2" t="s">
        <x:v>45</x:v>
      </x:c>
      <x:c r="E3" s="2" t="s">
        <x:v>46</x:v>
      </x:c>
    </x:row>
    <x:row r="4">
      <x:c r="A4" s="2" t="s">
        <x:v>47</x:v>
      </x:c>
      <x:c r="B4" s="2">
        <x:v>1.55</x:v>
      </x:c>
      <x:c r="C4" s="2"/>
      <x:c r="D4" s="2" t="s">
        <x:v>48</x:v>
      </x:c>
      <x:c r="E4" s="2" t="s">
        <x:v>49</x:v>
      </x:c>
    </x:row>
    <x:row r="5">
      <x:c r="A5" s="2" t="s">
        <x:v>10</x:v>
      </x:c>
      <x:c r="B5" s="2">
        <x:v>1.7250000000000001</x:v>
      </x:c>
      <x:c r="C5" s="2"/>
      <x:c r="D5" s="2"/>
      <x:c r="E5" s="2"/>
    </x:row>
    <x:row r="6">
      <x:c r="A6" s="2" t="s">
        <x:v>50</x:v>
      </x:c>
      <x:c r="B6" s="2">
        <x:v>1.9</x:v>
      </x:c>
      <x:c r="C6" s="2"/>
      <x:c r="D6" s="2"/>
      <x:c r="E6" s="2"/>
    </x:row>
    <x:row r="7">
      <x:c r="A7" s="2"/>
      <x:c r="B7" s="2"/>
      <x:c r="C7" s="2"/>
      <x:c r="D7" s="2"/>
      <x:c r="E7" s="2"/>
    </x:row>
    <x:row r="8">
      <x:c r="A8" s="2"/>
      <x:c r="B8" s="2"/>
      <x:c r="C8" s="2"/>
      <x:c r="D8" s="2"/>
      <x:c r="E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3" width="47.21875" style="24" customWidth="1"/>
    <x:col min="4" max="4" width="47.21875" customWidth="1"/>
    <x:col min="5" max="8" width="47.21875" style="24" customWidth="1"/>
    <x:col min="9" max="9" width="47.21875" customWidth="1"/>
    <x:col min="11" max="11" width="18" customWidth="1"/>
    <x:col min="12" max="12" width="24" customWidth="1"/>
  </x:cols>
  <x:sheetData>
    <x:row r="1">
      <x:c r="A1" s="31" t="s">
        <x:v>51</x:v>
      </x:c>
      <x:c r="B1" s="32" t="s">
        <x:v>52</x:v>
      </x:c>
      <x:c r="C1" s="33" t="s">
        <x:v>53</x:v>
      </x:c>
      <x:c r="E1" s="64" t="s">
        <x:v>54</x:v>
      </x:c>
      <x:c r="F1" s="65" t="s">
        <x:v>55</x:v>
      </x:c>
      <x:c r="G1" s="65" t="s">
        <x:v>51</x:v>
      </x:c>
      <x:c r="H1" s="66" t="s">
        <x:v>56</x:v>
      </x:c>
      <x:c r="I1" s="67" t="s">
        <x:v>57</x:v>
      </x:c>
      <x:c r="K1" s="91" t="s">
        <x:v>58</x:v>
      </x:c>
      <x:c r="L1" s="91"/>
    </x:row>
    <x:row r="2" ht="72">
      <x:c r="A2" s="92" t="s">
        <x:v>59</x:v>
      </x:c>
      <x:c r="B2" s="25" t="s">
        <x:v>60</x:v>
      </x:c>
      <x:c r="C2" s="26" t="s">
        <x:v>61</x:v>
      </x:c>
      <x:c r="E2" s="95" t="s">
        <x:v>62</x:v>
      </x:c>
      <x:c r="F2" s="25" t="s">
        <x:v>63</x:v>
      </x:c>
      <x:c r="G2" s="25" t="s">
        <x:v>64</x:v>
      </x:c>
      <x:c r="H2" s="26" t="s">
        <x:v>65</x:v>
      </x:c>
      <x:c r="I2" s="68" t="s">
        <x:v>66</x:v>
      </x:c>
      <x:c r="K2" s="2" t="s">
        <x:v>67</x:v>
      </x:c>
      <x:c r="L2" s="2" t="s">
        <x:v>68</x:v>
      </x:c>
    </x:row>
    <x:row r="3" ht="28.799999237060547">
      <x:c r="A3" s="94"/>
      <x:c r="B3" s="27" t="s">
        <x:v>69</x:v>
      </x:c>
      <x:c r="C3" s="28" t="s">
        <x:v>70</x:v>
      </x:c>
      <x:c r="E3" s="96"/>
      <x:c r="F3" s="27" t="s">
        <x:v>71</x:v>
      </x:c>
      <x:c r="G3" s="27" t="s">
        <x:v>72</x:v>
      </x:c>
      <x:c r="H3" s="28" t="str">
        <x:v>Whey + mamão ou salada de frutas (maçã + laranja)</x:v>
      </x:c>
      <x:c r="I3" s="68" t="str">
        <x:v>Whey|30 g
Mamão (opção 1)|200 g
Maçã (na salada)|1/2 unidade média
Laranja (na salada)|1/2 unidade média</x:v>
      </x:c>
      <x:c r="K3" s="2" t="s">
        <x:v>27</x:v>
      </x:c>
      <x:c r="L3" s="2" t="s">
        <x:v>73</x:v>
      </x:c>
    </x:row>
    <x:row r="4" ht="72">
      <x:c r="A4" s="94"/>
      <x:c r="B4" s="27" t="s">
        <x:v>74</x:v>
      </x:c>
      <x:c r="C4" s="28" t="s">
        <x:v>75</x:v>
      </x:c>
      <x:c r="E4" s="96"/>
      <x:c r="F4" s="27" t="s">
        <x:v>76</x:v>
      </x:c>
      <x:c r="G4" s="27" t="s">
        <x:v>77</x:v>
      </x:c>
      <x:c r="H4" s="28" t="s">
        <x:v>78</x:v>
      </x:c>
      <x:c r="I4" s="68" t="s">
        <x:v>79</x:v>
      </x:c>
      <x:c r="K4" s="2" t="s">
        <x:v>30</x:v>
      </x:c>
      <x:c r="L4" s="2" t="s">
        <x:v>80</x:v>
      </x:c>
    </x:row>
    <x:row r="5" ht="43.20000076293945">
      <x:c r="A5" s="94"/>
      <x:c r="B5" s="27" t="s">
        <x:v>81</x:v>
      </x:c>
      <x:c r="C5" s="28" t="s">
        <x:v>82</x:v>
      </x:c>
      <x:c r="E5" s="96"/>
      <x:c r="F5" s="58" t="s">
        <x:v>83</x:v>
      </x:c>
      <x:c r="G5" s="58" t="s">
        <x:v>72</x:v>
      </x:c>
      <x:c r="H5" s="59" t="s">
        <x:v>84</x:v>
      </x:c>
      <x:c r="I5" s="68" t="s">
        <x:v>85</x:v>
      </x:c>
      <x:c r="K5" s="2" t="s">
        <x:v>86</x:v>
      </x:c>
      <x:c r="L5" s="2" t="s">
        <x:v>87</x:v>
      </x:c>
    </x:row>
    <x:row r="6" ht="28.799999237060547">
      <x:c r="A6" s="93"/>
      <x:c r="B6" s="29" t="s">
        <x:v>88</x:v>
      </x:c>
      <x:c r="C6" s="30" t="s">
        <x:v>89</x:v>
      </x:c>
      <x:c r="E6" s="96"/>
      <x:c r="F6" s="27" t="s">
        <x:v>90</x:v>
      </x:c>
      <x:c r="G6" s="27" t="s">
        <x:v>91</x:v>
      </x:c>
      <x:c r="H6" s="28" t="s">
        <x:v>92</x:v>
      </x:c>
      <x:c r="I6" s="68" t="s">
        <x:v>93</x:v>
      </x:c>
      <x:c r="K6" s="2" t="s">
        <x:v>94</x:v>
      </x:c>
      <x:c r="L6" s="2" t="s">
        <x:v>95</x:v>
      </x:c>
    </x:row>
    <x:row r="7">
      <x:c r="A7" s="92" t="s">
        <x:v>96</x:v>
      </x:c>
      <x:c r="B7" s="25" t="s">
        <x:v>97</x:v>
      </x:c>
      <x:c r="C7" s="26" t="s">
        <x:v>70</x:v>
      </x:c>
      <x:c r="E7" s="99"/>
      <x:c r="F7" s="75" t="s">
        <x:v>98</x:v>
      </x:c>
      <x:c r="G7" s="78" t="s">
        <x:v>99</x:v>
      </x:c>
      <x:c r="H7" s="76" t="s">
        <x:v>100</x:v>
      </x:c>
      <x:c r="I7" s="77"/>
    </x:row>
    <x:row r="8" ht="72">
      <x:c r="A8" s="93"/>
      <x:c r="B8" s="29" t="s">
        <x:v>101</x:v>
      </x:c>
      <x:c r="C8" s="30" t="s">
        <x:v>102</x:v>
      </x:c>
      <x:c r="E8" s="95"/>
      <x:c r="F8" s="25" t="s">
        <x:v>103</x:v>
      </x:c>
      <x:c r="G8" s="25" t="s">
        <x:v>104</x:v>
      </x:c>
      <x:c r="H8" s="26" t="s">
        <x:v>105</x:v>
      </x:c>
      <x:c r="I8" s="68" t="s">
        <x:v>106</x:v>
      </x:c>
    </x:row>
    <x:row r="9" ht="28.799999237060547">
      <x:c r="A9" s="92" t="s">
        <x:v>107</x:v>
      </x:c>
      <x:c r="B9" s="25" t="s">
        <x:v>108</x:v>
      </x:c>
      <x:c r="C9" s="26" t="s">
        <x:v>109</x:v>
      </x:c>
      <x:c r="E9" s="96"/>
      <x:c r="F9" s="58" t="s">
        <x:v>110</x:v>
      </x:c>
      <x:c r="G9" s="58" t="s">
        <x:v>111</x:v>
      </x:c>
      <x:c r="H9" s="59" t="s">
        <x:v>112</x:v>
      </x:c>
      <x:c r="I9" s="68" t="s">
        <x:v>113</x:v>
      </x:c>
    </x:row>
    <x:row r="10" ht="72">
      <x:c r="A10" s="94"/>
      <x:c r="B10" s="27" t="s">
        <x:v>114</x:v>
      </x:c>
      <x:c r="C10" s="28" t="s">
        <x:v>115</x:v>
      </x:c>
      <x:c r="E10" s="96" t="s">
        <x:v>116</x:v>
      </x:c>
      <x:c r="F10" s="27" t="s">
        <x:v>63</x:v>
      </x:c>
      <x:c r="G10" s="27" t="s">
        <x:v>64</x:v>
      </x:c>
      <x:c r="H10" s="28" t="s">
        <x:v>117</x:v>
      </x:c>
      <x:c r="I10" s="68" t="s">
        <x:v>118</x:v>
      </x:c>
    </x:row>
    <x:row r="11" ht="28.799999237060547">
      <x:c r="A11" s="94"/>
      <x:c r="B11" s="27" t="s">
        <x:v>119</x:v>
      </x:c>
      <x:c r="C11" s="28" t="s">
        <x:v>120</x:v>
      </x:c>
      <x:c r="E11" s="96"/>
      <x:c r="F11" s="58" t="s">
        <x:v>121</x:v>
      </x:c>
      <x:c r="G11" s="58" t="s">
        <x:v>72</x:v>
      </x:c>
      <x:c r="H11" s="59" t="str">
        <x:v>Whey + mamão ou salada de frutas (maçã + laranja)</x:v>
      </x:c>
      <x:c r="I11" s="68" t="str">
        <x:v>Whey|30 g
Mamão (opção 1)|200 g
Maçã (na salada)|1/2 unidade média
Laranja (na salada)|1/2 unidade média</x:v>
      </x:c>
    </x:row>
    <x:row r="12" ht="28.799999237060547">
      <x:c r="A12" s="94"/>
      <x:c r="B12" s="27" t="s">
        <x:v>122</x:v>
      </x:c>
      <x:c r="C12" s="28" t="s">
        <x:v>123</x:v>
      </x:c>
      <x:c r="E12" s="96"/>
      <x:c r="F12" s="58" t="s">
        <x:v>124</x:v>
      </x:c>
      <x:c r="G12" s="58" t="s">
        <x:v>125</x:v>
      </x:c>
      <x:c r="H12" s="59" t="s">
        <x:v>126</x:v>
      </x:c>
      <x:c r="I12" s="68" t="s">
        <x:v>127</x:v>
      </x:c>
    </x:row>
    <x:row r="13">
      <x:c r="A13" s="93"/>
      <x:c r="B13" s="29" t="s">
        <x:v>128</x:v>
      </x:c>
      <x:c r="C13" s="30" t="s">
        <x:v>120</x:v>
      </x:c>
      <x:c r="E13" s="97"/>
      <x:c r="F13" s="79" t="s">
        <x:v>129</x:v>
      </x:c>
      <x:c r="G13" s="81" t="s">
        <x:v>130</x:v>
      </x:c>
      <x:c r="H13" s="80" t="s">
        <x:v>100</x:v>
      </x:c>
      <x:c r="I13" s="77"/>
    </x:row>
    <x:row r="14" ht="72">
      <x:c r="A14" s="92" t="s">
        <x:v>131</x:v>
      </x:c>
      <x:c r="B14" s="25" t="s">
        <x:v>60</x:v>
      </x:c>
      <x:c r="C14" s="26" t="s">
        <x:v>61</x:v>
      </x:c>
      <x:c r="E14" s="98"/>
      <x:c r="F14" s="60" t="s">
        <x:v>132</x:v>
      </x:c>
      <x:c r="G14" s="60" t="s">
        <x:v>133</x:v>
      </x:c>
      <x:c r="H14" s="61" t="s">
        <x:v>78</x:v>
      </x:c>
      <x:c r="I14" s="68" t="s">
        <x:v>134</x:v>
      </x:c>
    </x:row>
    <x:row r="15" ht="43.20000076293945">
      <x:c r="A15" s="94"/>
      <x:c r="B15" s="27" t="s">
        <x:v>135</x:v>
      </x:c>
      <x:c r="C15" s="28" t="s">
        <x:v>70</x:v>
      </x:c>
      <x:c r="E15" s="95"/>
      <x:c r="F15" s="25" t="s">
        <x:v>83</x:v>
      </x:c>
      <x:c r="G15" s="25" t="s">
        <x:v>136</x:v>
      </x:c>
      <x:c r="H15" s="26" t="s">
        <x:v>84</x:v>
      </x:c>
      <x:c r="I15" s="68" t="s">
        <x:v>137</x:v>
      </x:c>
    </x:row>
    <x:row r="16">
      <x:c r="A16" s="94"/>
      <x:c r="B16" s="27" t="s">
        <x:v>88</x:v>
      </x:c>
      <x:c r="C16" s="28" t="s">
        <x:v>89</x:v>
      </x:c>
      <x:c r="E16" s="97"/>
      <x:c r="F16" s="79" t="s">
        <x:v>138</x:v>
      </x:c>
      <x:c r="G16" s="81" t="s">
        <x:v>139</x:v>
      </x:c>
      <x:c r="H16" s="80" t="s">
        <x:v>100</x:v>
      </x:c>
      <x:c r="I16" s="77"/>
    </x:row>
    <x:row r="17" ht="72">
      <x:c r="A17" s="93"/>
      <x:c r="B17" s="29" t="s">
        <x:v>140</x:v>
      </x:c>
      <x:c r="C17" s="30" t="s">
        <x:v>141</x:v>
      </x:c>
      <x:c r="E17" s="96"/>
      <x:c r="F17" s="27" t="s">
        <x:v>142</x:v>
      </x:c>
      <x:c r="G17" s="27" t="s">
        <x:v>104</x:v>
      </x:c>
      <x:c r="H17" s="28" t="s">
        <x:v>105</x:v>
      </x:c>
      <x:c r="I17" s="68" t="s">
        <x:v>143</x:v>
      </x:c>
    </x:row>
    <x:row r="18" ht="28.799999237060547">
      <x:c r="A18" s="92" t="s">
        <x:v>144</x:v>
      </x:c>
      <x:c r="B18" s="25" t="s">
        <x:v>108</x:v>
      </x:c>
      <x:c r="C18" s="26" t="s">
        <x:v>145</x:v>
      </x:c>
      <x:c r="E18" s="96"/>
      <x:c r="F18" s="58" t="s">
        <x:v>146</x:v>
      </x:c>
      <x:c r="G18" s="58" t="s">
        <x:v>111</x:v>
      </x:c>
      <x:c r="H18" s="59" t="s">
        <x:v>112</x:v>
      </x:c>
      <x:c r="I18" s="68" t="s">
        <x:v>113</x:v>
      </x:c>
    </x:row>
    <x:row r="19" ht="72">
      <x:c r="A19" s="94"/>
      <x:c r="B19" s="27" t="s">
        <x:v>147</x:v>
      </x:c>
      <x:c r="C19" s="28" t="s">
        <x:v>148</x:v>
      </x:c>
      <x:c r="E19" s="96" t="s">
        <x:v>149</x:v>
      </x:c>
      <x:c r="F19" s="27" t="s">
        <x:v>63</x:v>
      </x:c>
      <x:c r="G19" s="27" t="s">
        <x:v>64</x:v>
      </x:c>
      <x:c r="H19" s="28" t="s">
        <x:v>65</x:v>
      </x:c>
      <x:c r="I19" s="68" t="s">
        <x:v>150</x:v>
      </x:c>
    </x:row>
    <x:row r="20" ht="28.799999237060547">
      <x:c r="A20" s="94"/>
      <x:c r="B20" s="27" t="s">
        <x:v>151</x:v>
      </x:c>
      <x:c r="C20" s="28" t="s">
        <x:v>141</x:v>
      </x:c>
      <x:c r="E20" s="98"/>
      <x:c r="F20" s="60" t="s">
        <x:v>71</x:v>
      </x:c>
      <x:c r="G20" s="60" t="s">
        <x:v>72</x:v>
      </x:c>
      <x:c r="H20" s="61" t="str">
        <x:v>Whey + mamão ou salada de frutas (maçã + laranja)</x:v>
      </x:c>
      <x:c r="I20" s="68" t="str">
        <x:v>Whey|30 g
Mamão (opção 1)|200 g
Maçã (na salada)|1/2 unidade média
Laranja (na salada)|1/2 unidade média</x:v>
      </x:c>
    </x:row>
    <x:row r="21" ht="72">
      <x:c r="A21" s="94"/>
      <x:c r="B21" s="27" t="s">
        <x:v>152</x:v>
      </x:c>
      <x:c r="C21" s="28" t="s">
        <x:v>141</x:v>
      </x:c>
      <x:c r="E21" s="95"/>
      <x:c r="F21" s="25" t="s">
        <x:v>76</x:v>
      </x:c>
      <x:c r="G21" s="25" t="s">
        <x:v>77</x:v>
      </x:c>
      <x:c r="H21" s="26" t="s">
        <x:v>153</x:v>
      </x:c>
      <x:c r="I21" s="68" t="s">
        <x:v>154</x:v>
      </x:c>
    </x:row>
    <x:row r="22" ht="43.20000076293945">
      <x:c r="A22" s="93"/>
      <x:c r="B22" s="29" t="s">
        <x:v>155</x:v>
      </x:c>
      <x:c r="C22" s="30" t="s">
        <x:v>102</x:v>
      </x:c>
      <x:c r="E22" s="96"/>
      <x:c r="F22" s="27" t="s">
        <x:v>83</x:v>
      </x:c>
      <x:c r="G22" s="27" t="s">
        <x:v>72</x:v>
      </x:c>
      <x:c r="H22" s="28" t="s">
        <x:v>84</x:v>
      </x:c>
      <x:c r="I22" s="68" t="s">
        <x:v>85</x:v>
      </x:c>
    </x:row>
    <x:row r="23" ht="28.799999237060547">
      <x:c r="A23" s="92" t="s">
        <x:v>156</x:v>
      </x:c>
      <x:c r="B23" s="25" t="s">
        <x:v>74</x:v>
      </x:c>
      <x:c r="C23" s="26" t="s">
        <x:v>75</x:v>
      </x:c>
      <x:c r="E23" s="96"/>
      <x:c r="F23" s="27" t="s">
        <x:v>90</x:v>
      </x:c>
      <x:c r="G23" s="27" t="s">
        <x:v>91</x:v>
      </x:c>
      <x:c r="H23" s="28" t="s">
        <x:v>92</x:v>
      </x:c>
      <x:c r="I23" s="68" t="s">
        <x:v>93</x:v>
      </x:c>
    </x:row>
    <x:row r="24">
      <x:c r="A24" s="93"/>
      <x:c r="B24" s="29" t="s">
        <x:v>157</x:v>
      </x:c>
      <x:c r="C24" s="30" t="s">
        <x:v>158</x:v>
      </x:c>
      <x:c r="E24" s="97"/>
      <x:c r="F24" s="79" t="s">
        <x:v>98</x:v>
      </x:c>
      <x:c r="G24" s="81" t="s">
        <x:v>99</x:v>
      </x:c>
      <x:c r="H24" s="80" t="s">
        <x:v>100</x:v>
      </x:c>
      <x:c r="I24" s="77"/>
    </x:row>
    <x:row r="25" ht="72">
      <x:c r="E25" s="96"/>
      <x:c r="F25" s="58" t="s">
        <x:v>103</x:v>
      </x:c>
      <x:c r="G25" s="58" t="s">
        <x:v>104</x:v>
      </x:c>
      <x:c r="H25" s="59" t="s">
        <x:v>159</x:v>
      </x:c>
      <x:c r="I25" s="68" t="s">
        <x:v>160</x:v>
      </x:c>
    </x:row>
    <x:row r="26" ht="28.799999237060547">
      <x:c r="E26" s="96"/>
      <x:c r="F26" s="27" t="s">
        <x:v>110</x:v>
      </x:c>
      <x:c r="G26" s="27" t="s">
        <x:v>111</x:v>
      </x:c>
      <x:c r="H26" s="28" t="s">
        <x:v>112</x:v>
      </x:c>
      <x:c r="I26" s="68" t="s">
        <x:v>113</x:v>
      </x:c>
    </x:row>
    <x:row r="27" ht="72">
      <x:c r="E27" s="98" t="s">
        <x:v>161</x:v>
      </x:c>
      <x:c r="F27" s="60" t="s">
        <x:v>63</x:v>
      </x:c>
      <x:c r="G27" s="60" t="s">
        <x:v>64</x:v>
      </x:c>
      <x:c r="H27" s="61" t="s">
        <x:v>65</x:v>
      </x:c>
      <x:c r="I27" s="68" t="s">
        <x:v>150</x:v>
      </x:c>
    </x:row>
    <x:row r="28" ht="28.799999237060547">
      <x:c r="E28" s="95"/>
      <x:c r="F28" s="25" t="s">
        <x:v>71</x:v>
      </x:c>
      <x:c r="G28" s="25" t="s">
        <x:v>72</x:v>
      </x:c>
      <x:c r="H28" s="26" t="str">
        <x:v>Whey + mamão ou salada de frutas (maçã + laranja)</x:v>
      </x:c>
      <x:c r="I28" s="68" t="str">
        <x:v>Whey|30 g
Mamão (opção 1)|200 g
Maçã (na salada)|1/2 unidade média
Laranja (na salada)|1/2 unidade média</x:v>
      </x:c>
    </x:row>
    <x:row r="29" ht="72">
      <x:c r="E29" s="96"/>
      <x:c r="F29" s="27" t="s">
        <x:v>76</x:v>
      </x:c>
      <x:c r="G29" s="27" t="s">
        <x:v>162</x:v>
      </x:c>
      <x:c r="H29" s="28" t="s">
        <x:v>78</x:v>
      </x:c>
      <x:c r="I29" s="68" t="s">
        <x:v>163</x:v>
      </x:c>
    </x:row>
    <x:row r="30" ht="43.20000076293945">
      <x:c r="E30" s="96"/>
      <x:c r="F30" s="27" t="s">
        <x:v>83</x:v>
      </x:c>
      <x:c r="G30" s="27" t="s">
        <x:v>164</x:v>
      </x:c>
      <x:c r="H30" s="28" t="s">
        <x:v>165</x:v>
      </x:c>
      <x:c r="I30" s="68" t="s">
        <x:v>166</x:v>
      </x:c>
    </x:row>
    <x:row r="31" ht="43.20000076293945">
      <x:c r="E31" s="96"/>
      <x:c r="F31" s="27" t="s">
        <x:v>167</x:v>
      </x:c>
      <x:c r="G31" s="27" t="s">
        <x:v>168</x:v>
      </x:c>
      <x:c r="H31" s="28" t="s">
        <x:v>169</x:v>
      </x:c>
      <x:c r="I31" s="68" t="s">
        <x:v>170</x:v>
      </x:c>
    </x:row>
    <x:row r="32" ht="72">
      <x:c r="E32" s="96"/>
      <x:c r="F32" s="58" t="s">
        <x:v>171</x:v>
      </x:c>
      <x:c r="G32" s="58" t="s">
        <x:v>172</x:v>
      </x:c>
      <x:c r="H32" s="59" t="s">
        <x:v>105</x:v>
      </x:c>
      <x:c r="I32" s="68" t="s">
        <x:v>143</x:v>
      </x:c>
    </x:row>
    <x:row r="33" ht="28.799999237060547">
      <x:c r="E33" s="96"/>
      <x:c r="F33" s="27" t="s">
        <x:v>110</x:v>
      </x:c>
      <x:c r="G33" s="27" t="s">
        <x:v>111</x:v>
      </x:c>
      <x:c r="H33" s="28" t="s">
        <x:v>173</x:v>
      </x:c>
      <x:c r="I33" s="68" t="s">
        <x:v>174</x:v>
      </x:c>
    </x:row>
    <x:row r="34" ht="72">
      <x:c r="E34" s="98" t="s">
        <x:v>175</x:v>
      </x:c>
      <x:c r="F34" s="60" t="s">
        <x:v>63</x:v>
      </x:c>
      <x:c r="G34" s="60" t="s">
        <x:v>64</x:v>
      </x:c>
      <x:c r="H34" s="61" t="s">
        <x:v>65</x:v>
      </x:c>
      <x:c r="I34" s="68" t="s">
        <x:v>150</x:v>
      </x:c>
    </x:row>
    <x:row r="35" ht="28.799999237060547">
      <x:c r="E35" s="95"/>
      <x:c r="F35" s="62" t="s">
        <x:v>71</x:v>
      </x:c>
      <x:c r="G35" s="62" t="s">
        <x:v>72</x:v>
      </x:c>
      <x:c r="H35" s="63" t="str">
        <x:v>Whey + mamão ou salada de frutas (maçã + laranja)</x:v>
      </x:c>
      <x:c r="I35" s="68" t="str">
        <x:v>Whey|30 g
Mamão (opção 1)|200 g
Maçã (na salada)|1/2 unidade média
Laranja (na salada)|1/2 unidade média</x:v>
      </x:c>
    </x:row>
    <x:row r="36" ht="72">
      <x:c r="E36" s="96"/>
      <x:c r="F36" s="27" t="s">
        <x:v>76</x:v>
      </x:c>
      <x:c r="G36" s="27" t="s">
        <x:v>162</x:v>
      </x:c>
      <x:c r="H36" s="28" t="s">
        <x:v>153</x:v>
      </x:c>
      <x:c r="I36" s="68" t="s">
        <x:v>176</x:v>
      </x:c>
    </x:row>
    <x:row r="37" ht="43.20000076293945">
      <x:c r="E37" s="96"/>
      <x:c r="F37" s="58" t="s">
        <x:v>177</x:v>
      </x:c>
      <x:c r="G37" s="58" t="s">
        <x:v>72</x:v>
      </x:c>
      <x:c r="H37" s="59" t="s">
        <x:v>84</x:v>
      </x:c>
      <x:c r="I37" s="68" t="s">
        <x:v>85</x:v>
      </x:c>
    </x:row>
    <x:row r="38" ht="28.799999237060547">
      <x:c r="E38" s="96"/>
      <x:c r="F38" s="27" t="s">
        <x:v>178</x:v>
      </x:c>
      <x:c r="G38" s="27" t="s">
        <x:v>91</x:v>
      </x:c>
      <x:c r="H38" s="28" t="s">
        <x:v>92</x:v>
      </x:c>
      <x:c r="I38" s="68" t="s">
        <x:v>93</x:v>
      </x:c>
    </x:row>
    <x:row r="39">
      <x:c r="E39" s="97"/>
      <x:c r="F39" s="79" t="s">
        <x:v>98</x:v>
      </x:c>
      <x:c r="G39" s="81" t="s">
        <x:v>99</x:v>
      </x:c>
      <x:c r="H39" s="80" t="s">
        <x:v>100</x:v>
      </x:c>
      <x:c r="I39" s="77"/>
    </x:row>
    <x:row r="40" ht="72">
      <x:c r="E40" s="98"/>
      <x:c r="F40" s="29" t="s">
        <x:v>103</x:v>
      </x:c>
      <x:c r="G40" s="29" t="s">
        <x:v>104</x:v>
      </x:c>
      <x:c r="H40" s="30" t="s">
        <x:v>159</x:v>
      </x:c>
      <x:c r="I40" s="68" t="s">
        <x:v>160</x:v>
      </x:c>
    </x:row>
    <x:row r="41" ht="28.799999237060547">
      <x:c r="E41" s="95"/>
      <x:c r="F41" s="25" t="s">
        <x:v>110</x:v>
      </x:c>
      <x:c r="G41" s="25" t="s">
        <x:v>111</x:v>
      </x:c>
      <x:c r="H41" s="26" t="s">
        <x:v>112</x:v>
      </x:c>
      <x:c r="I41" s="68" t="s">
        <x:v>113</x:v>
      </x:c>
    </x:row>
    <x:row r="42" ht="28.799999237060547">
      <x:c r="E42" s="96" t="s">
        <x:v>179</x:v>
      </x:c>
      <x:c r="F42" s="58" t="s">
        <x:v>180</x:v>
      </x:c>
      <x:c r="G42" s="58" t="s">
        <x:v>125</x:v>
      </x:c>
      <x:c r="H42" s="59" t="s">
        <x:v>92</x:v>
      </x:c>
      <x:c r="I42" s="68" t="s">
        <x:v>93</x:v>
      </x:c>
    </x:row>
    <x:row r="43">
      <x:c r="E43" s="97"/>
      <x:c r="F43" s="79" t="s">
        <x:v>181</x:v>
      </x:c>
      <x:c r="G43" s="81" t="s">
        <x:v>130</x:v>
      </x:c>
      <x:c r="H43" s="80" t="s">
        <x:v>100</x:v>
      </x:c>
      <x:c r="I43" s="77"/>
    </x:row>
    <x:row r="44" ht="86.4000015258789">
      <x:c r="E44" s="96"/>
      <x:c r="F44" s="58" t="s">
        <x:v>182</x:v>
      </x:c>
      <x:c r="G44" s="58" t="s">
        <x:v>183</x:v>
      </x:c>
      <x:c r="H44" s="59" t="s">
        <x:v>184</x:v>
      </x:c>
      <x:c r="I44" s="68" t="s">
        <x:v>185</x:v>
      </x:c>
    </x:row>
    <x:row r="45" ht="72">
      <x:c r="E45" s="96"/>
      <x:c r="F45" s="27" t="s">
        <x:v>76</x:v>
      </x:c>
      <x:c r="G45" s="27" t="s">
        <x:v>77</x:v>
      </x:c>
      <x:c r="H45" s="28" t="s">
        <x:v>78</x:v>
      </x:c>
      <x:c r="I45" s="68" t="s">
        <x:v>186</x:v>
      </x:c>
    </x:row>
    <x:row r="46" ht="57.599998474121094">
      <x:c r="E46" s="98"/>
      <x:c r="F46" s="29" t="s">
        <x:v>83</x:v>
      </x:c>
      <x:c r="G46" s="29" t="s">
        <x:v>72</x:v>
      </x:c>
      <x:c r="H46" s="30" t="s">
        <x:v>187</x:v>
      </x:c>
      <x:c r="I46" s="68" t="s">
        <x:v>188</x:v>
      </x:c>
    </x:row>
    <x:row r="47" ht="72">
      <x:c r="E47" s="71"/>
      <x:c r="F47" s="73" t="s">
        <x:v>189</x:v>
      </x:c>
      <x:c r="G47" s="2" t="s">
        <x:v>172</x:v>
      </x:c>
      <x:c r="H47" s="2" t="s">
        <x:v>105</x:v>
      </x:c>
      <x:c r="I47" s="68" t="s">
        <x:v>143</x:v>
      </x:c>
    </x:row>
    <x:row r="48" ht="28.799999237060547">
      <x:c r="E48" s="71"/>
      <x:c r="F48" s="73" t="s">
        <x:v>110</x:v>
      </x:c>
      <x:c r="G48" s="2" t="s">
        <x:v>111</x:v>
      </x:c>
      <x:c r="H48" s="2" t="s">
        <x:v>112</x:v>
      </x:c>
      <x:c r="I48" s="68" t="s">
        <x:v>113</x:v>
      </x:c>
    </x:row>
    <x:row r="49" ht="72">
      <x:c r="E49" s="71" t="s">
        <x:v>190</x:v>
      </x:c>
      <x:c r="F49" s="73" t="s">
        <x:v>191</x:v>
      </x:c>
      <x:c r="G49" s="2" t="s">
        <x:v>64</x:v>
      </x:c>
      <x:c r="H49" s="2" t="s">
        <x:v>65</x:v>
      </x:c>
      <x:c r="I49" s="68" t="s">
        <x:v>150</x:v>
      </x:c>
    </x:row>
    <x:row r="50" ht="28.799999237060547">
      <x:c r="E50" s="71"/>
      <x:c r="F50" s="73" t="s">
        <x:v>192</x:v>
      </x:c>
      <x:c r="G50" s="2" t="s">
        <x:v>125</x:v>
      </x:c>
      <x:c r="H50" s="2" t="s">
        <x:v>193</x:v>
      </x:c>
      <x:c r="I50" s="68" t="s">
        <x:v>194</x:v>
      </x:c>
    </x:row>
    <x:row r="51">
      <x:c r="E51" s="82"/>
      <x:c r="F51" s="83" t="s">
        <x:v>195</x:v>
      </x:c>
      <x:c r="G51" s="85" t="s">
        <x:v>130</x:v>
      </x:c>
      <x:c r="H51" s="84" t="s">
        <x:v>100</x:v>
      </x:c>
      <x:c r="I51" s="77"/>
    </x:row>
    <x:row r="52" ht="86.4000015258789">
      <x:c r="E52" s="71"/>
      <x:c r="F52" s="73" t="s">
        <x:v>196</x:v>
      </x:c>
      <x:c r="G52" s="2" t="s">
        <x:v>133</x:v>
      </x:c>
      <x:c r="H52" s="2" t="s">
        <x:v>197</x:v>
      </x:c>
      <x:c r="I52" s="68" t="s">
        <x:v>198</x:v>
      </x:c>
    </x:row>
    <x:row r="53" ht="43.20000076293945">
      <x:c r="E53" s="71"/>
      <x:c r="F53" s="73" t="s">
        <x:v>83</x:v>
      </x:c>
      <x:c r="G53" s="2" t="s">
        <x:v>72</x:v>
      </x:c>
      <x:c r="H53" s="2" t="s">
        <x:v>199</x:v>
      </x:c>
      <x:c r="I53" s="68" t="s">
        <x:v>200</x:v>
      </x:c>
    </x:row>
    <x:row r="54" ht="57.599998474121094">
      <x:c r="E54" s="71"/>
      <x:c r="F54" s="73" t="s">
        <x:v>189</x:v>
      </x:c>
      <x:c r="G54" s="2" t="s">
        <x:v>172</x:v>
      </x:c>
      <x:c r="H54" s="2" t="s">
        <x:v>201</x:v>
      </x:c>
      <x:c r="I54" s="68" t="s">
        <x:v>202</x:v>
      </x:c>
    </x:row>
    <x:row r="55" ht="28.799999237060547">
      <x:c r="E55" s="72"/>
      <x:c r="F55" s="74" t="s">
        <x:v>146</x:v>
      </x:c>
      <x:c r="G55" s="69" t="s">
        <x:v>111</x:v>
      </x:c>
      <x:c r="H55" s="69" t="s">
        <x:v>112</x:v>
      </x:c>
      <x:c r="I55" s="70" t="s">
        <x:v>113</x:v>
      </x:c>
    </x:row>
  </x:sheetData>
  <x:mergeCells>
    <x:mergeCell ref="E35:E40"/>
    <x:mergeCell ref="E41:E46"/>
    <x:mergeCell ref="E2:E7"/>
    <x:mergeCell ref="E8:E14"/>
    <x:mergeCell ref="E15:E20"/>
    <x:mergeCell ref="E21:E27"/>
    <x:mergeCell ref="E28:E34"/>
    <x:mergeCell ref="K1:L1"/>
    <x:mergeCell ref="A23:A24"/>
    <x:mergeCell ref="A2:A6"/>
    <x:mergeCell ref="A7:A8"/>
    <x:mergeCell ref="A9:A13"/>
    <x:mergeCell ref="A14:A17"/>
    <x:mergeCell ref="A18:A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11.21875" style="24" customWidth="1"/>
    <x:col min="2" max="2" width="24.44140625" style="24" customWidth="1"/>
    <x:col min="3" max="3" width="17.5546875" style="24" customWidth="1"/>
    <x:col min="4" max="4" width="24.44140625" style="24" customWidth="1"/>
    <x:col min="5" max="6" width="16.5546875" customWidth="1"/>
    <x:col min="8" max="8" width="15.33203125" customWidth="1"/>
  </x:cols>
  <x:sheetData>
    <x:row r="1" ht="15"/>
    <x:row r="2">
      <x:c r="A2" s="34"/>
      <x:c r="B2" s="35" t="s">
        <x:v>203</x:v>
      </x:c>
      <x:c r="C2" s="35" t="s">
        <x:v>203</x:v>
      </x:c>
      <x:c r="D2" s="36" t="s">
        <x:v>203</x:v>
      </x:c>
      <x:c r="H2" s="50" t="s">
        <x:v>204</x:v>
      </x:c>
    </x:row>
    <x:row r="3">
      <x:c r="A3" s="37" t="s">
        <x:v>205</x:v>
      </x:c>
      <x:c r="B3" s="39" t="s">
        <x:v>206</x:v>
      </x:c>
      <x:c r="C3" s="39" t="s">
        <x:v>207</x:v>
      </x:c>
      <x:c r="D3" s="38" t="s">
        <x:v>208</x:v>
      </x:c>
      <x:c r="H3" s="49" t="s">
        <x:v>209</x:v>
      </x:c>
    </x:row>
    <x:row r="4">
      <x:c r="A4" s="40">
        <x:v>0.22916666666666666</x:v>
      </x:c>
      <x:c r="B4" s="41" t="s">
        <x:v>210</x:v>
      </x:c>
      <x:c r="C4" s="41" t="s">
        <x:v>210</x:v>
      </x:c>
      <x:c r="D4" s="42" t="s">
        <x:v>210</x:v>
      </x:c>
      <x:c r="H4" s="52" t="s">
        <x:v>211</x:v>
      </x:c>
    </x:row>
    <x:row r="5">
      <x:c r="A5" s="44">
        <x:v>0.27083333333333331</x:v>
      </x:c>
      <x:c r="B5" s="41" t="s">
        <x:v>212</x:v>
      </x:c>
      <x:c r="C5" s="41" t="s">
        <x:v>212</x:v>
      </x:c>
      <x:c r="D5" s="42" t="s">
        <x:v>212</x:v>
      </x:c>
      <x:c r="H5" s="53" t="s">
        <x:v>213</x:v>
      </x:c>
    </x:row>
    <x:row r="6">
      <x:c r="A6" s="44">
        <x:v>0.33333333333333331</x:v>
      </x:c>
      <x:c r="B6" s="41" t="s">
        <x:v>214</x:v>
      </x:c>
      <x:c r="C6" s="41" t="s">
        <x:v>214</x:v>
      </x:c>
      <x:c r="D6" s="42" t="s">
        <x:v>214</x:v>
      </x:c>
    </x:row>
    <x:row r="7">
      <x:c r="A7" s="44">
        <x:v>0.375</x:v>
      </x:c>
      <x:c r="B7" s="51" t="s">
        <x:v>215</x:v>
      </x:c>
      <x:c r="C7" s="41" t="s">
        <x:v>215</x:v>
      </x:c>
      <x:c r="D7" s="42" t="s">
        <x:v>215</x:v>
      </x:c>
    </x:row>
    <x:row r="8">
      <x:c r="A8" s="44">
        <x:v>0.54166666666666663</x:v>
      </x:c>
      <x:c r="B8" s="51" t="s">
        <x:v>216</x:v>
      </x:c>
      <x:c r="C8" s="51" t="s">
        <x:v>217</x:v>
      </x:c>
      <x:c r="D8" s="54" t="s">
        <x:v>216</x:v>
      </x:c>
    </x:row>
    <x:row r="9">
      <x:c r="A9" s="44">
        <x:v>0.58333333333333337</x:v>
      </x:c>
      <x:c r="B9" s="51" t="s">
        <x:v>215</x:v>
      </x:c>
      <x:c r="C9" s="51" t="s">
        <x:v>215</x:v>
      </x:c>
      <x:c r="D9" s="42" t="s">
        <x:v>215</x:v>
      </x:c>
    </x:row>
    <x:row r="10">
      <x:c r="A10" s="44">
        <x:v>0.75</x:v>
      </x:c>
      <x:c r="B10" s="51" t="s">
        <x:v>218</x:v>
      </x:c>
      <x:c r="C10" s="102" t="s">
        <x:v>211</x:v>
      </x:c>
      <x:c r="D10" s="42" t="s">
        <x:v>218</x:v>
      </x:c>
    </x:row>
    <x:row r="11">
      <x:c r="A11" s="44">
        <x:v>0.79166666666666663</x:v>
      </x:c>
      <x:c r="B11" s="104" t="s">
        <x:v>209</x:v>
      </x:c>
      <x:c r="C11" s="102"/>
      <x:c r="D11" s="103" t="s">
        <x:v>209</x:v>
      </x:c>
    </x:row>
    <x:row r="12">
      <x:c r="A12" s="44">
        <x:v>0.85416666666666663</x:v>
      </x:c>
      <x:c r="B12" s="104"/>
      <x:c r="C12" s="51" t="s">
        <x:v>219</x:v>
      </x:c>
      <x:c r="D12" s="103"/>
    </x:row>
    <x:row r="13" ht="15">
      <x:c r="A13" s="47">
        <x:v>0.91666666666666663</x:v>
      </x:c>
      <x:c r="B13" s="24" t="s">
        <x:v>220</x:v>
      </x:c>
      <x:c r="C13" s="48" t="s">
        <x:v>220</x:v>
      </x:c>
      <x:c r="D13" s="46" t="s">
        <x:v>220</x:v>
      </x:c>
    </x:row>
    <x:row r="14">
      <x:c r="A14" s="40" t="s">
        <x:v>221</x:v>
      </x:c>
      <x:c r="B14" s="57" t="s">
        <x:v>222</x:v>
      </x:c>
      <x:c r="C14" s="56" t="s">
        <x:v>222</x:v>
      </x:c>
      <x:c r="D14" s="43" t="s">
        <x:v>222</x:v>
      </x:c>
    </x:row>
    <x:row r="15" ht="15">
      <x:c r="A15" s="47" t="s">
        <x:v>221</x:v>
      </x:c>
      <x:c r="B15" s="55" t="s">
        <x:v>223</x:v>
      </x:c>
      <x:c r="C15" s="48" t="s">
        <x:v>223</x:v>
      </x:c>
      <x:c r="D15" s="45" t="s">
        <x:v>223</x:v>
      </x:c>
    </x:row>
    <x:row r="16" ht="15"/>
    <x:row r="17" ht="15">
      <x:c r="A17" s="34"/>
      <x:c r="B17" s="35" t="s">
        <x:v>224</x:v>
      </x:c>
      <x:c r="C17" s="36" t="s">
        <x:v>224</x:v>
      </x:c>
    </x:row>
    <x:row r="18" ht="15">
      <x:c r="A18" s="37" t="s">
        <x:v>205</x:v>
      </x:c>
      <x:c r="B18" s="39" t="s">
        <x:v>225</x:v>
      </x:c>
      <x:c r="C18" s="38" t="s">
        <x:v>226</x:v>
      </x:c>
    </x:row>
    <x:row r="19">
      <x:c r="A19" s="40">
        <x:v>0.22916666666666666</x:v>
      </x:c>
      <x:c r="B19" s="51" t="s">
        <x:v>213</x:v>
      </x:c>
      <x:c r="C19" s="42" t="s">
        <x:v>210</x:v>
      </x:c>
    </x:row>
    <x:row r="20">
      <x:c r="A20" s="44">
        <x:v>0.33333333333333331</x:v>
      </x:c>
      <x:c r="B20" s="41" t="s">
        <x:v>215</x:v>
      </x:c>
      <x:c r="C20" s="42" t="s">
        <x:v>215</x:v>
      </x:c>
    </x:row>
    <x:row r="21">
      <x:c r="A21" s="44">
        <x:v>0.54166666666666663</x:v>
      </x:c>
      <x:c r="B21" s="51" t="s">
        <x:v>227</x:v>
      </x:c>
      <x:c r="C21" s="54" t="s">
        <x:v>228</x:v>
      </x:c>
    </x:row>
    <x:row r="22">
      <x:c r="A22" s="44">
        <x:v>0.58333333333333337</x:v>
      </x:c>
      <x:c r="B22" s="41" t="s">
        <x:v>215</x:v>
      </x:c>
      <x:c r="C22" s="42" t="s">
        <x:v>215</x:v>
      </x:c>
    </x:row>
    <x:row r="23">
      <x:c r="A23" s="44">
        <x:v>0.79166666666666663</x:v>
      </x:c>
      <x:c r="B23" s="24" t="s">
        <x:v>229</x:v>
      </x:c>
      <x:c r="C23" s="103" t="s">
        <x:v>209</x:v>
      </x:c>
    </x:row>
    <x:row r="24">
      <x:c r="A24" s="44">
        <x:v>0.83333333333333337</x:v>
      </x:c>
      <x:c r="B24" s="24" t="s">
        <x:v>216</x:v>
      </x:c>
      <x:c r="C24" s="103"/>
    </x:row>
    <x:row r="25" ht="15">
      <x:c r="A25" s="47">
        <x:v>0.91666666666666663</x:v>
      </x:c>
      <x:c r="B25" s="24" t="s">
        <x:v>220</x:v>
      </x:c>
      <x:c r="C25" s="46" t="s">
        <x:v>220</x:v>
      </x:c>
    </x:row>
    <x:row r="26">
      <x:c r="A26" s="100" t="s">
        <x:v>221</x:v>
      </x:c>
      <x:c r="B26" s="56" t="s">
        <x:v>222</x:v>
      </x:c>
      <x:c r="C26" s="43" t="s">
        <x:v>222</x:v>
      </x:c>
    </x:row>
    <x:row r="27">
      <x:c r="A27" s="101"/>
      <x:c r="B27" s="48" t="s">
        <x:v>223</x:v>
      </x:c>
      <x:c r="C27" s="45" t="s">
        <x:v>223</x:v>
      </x:c>
    </x:row>
  </x:sheetData>
  <x:mergeCells>
    <x:mergeCell ref="A26:A27"/>
    <x:mergeCell ref="C10:C11"/>
    <x:mergeCell ref="D11:D12"/>
    <x:mergeCell ref="B11:B12"/>
    <x:mergeCell ref="C23:C24"/>
  </x:mergeCells>
  <x:pageMargins left="0.7" right="0.7" top="0.75" bottom="0.75" header="0.3" footer="0.3"/>
</x:worksheet>
</file>